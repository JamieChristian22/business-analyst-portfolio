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983f68d69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62f2399dea34f33"/>
    <x:sheet xmlns:r="http://schemas.openxmlformats.org/officeDocument/2006/relationships" name="Requirements" sheetId="2" r:id="R2d23dd24e9714b85"/>
    <x:sheet xmlns:r="http://schemas.openxmlformats.org/officeDocument/2006/relationships" name="UAT" sheetId="3" r:id="R0713268316684f2b"/>
    <x:sheet xmlns:r="http://schemas.openxmlformats.org/officeDocument/2006/relationships" name="Gap Analysis" sheetId="4" r:id="R8a206b3c6b494c66"/>
    <x:sheet xmlns:r="http://schemas.openxmlformats.org/officeDocument/2006/relationships" name="RAID" sheetId="5" r:id="R599f6bf56a7643d3"/>
    <x:sheet xmlns:r="http://schemas.openxmlformats.org/officeDocument/2006/relationships" name="Change Control" sheetId="6" r:id="R6a89c74546d346ce"/>
    <x:sheet xmlns:r="http://schemas.openxmlformats.org/officeDocument/2006/relationships" name="Defects" sheetId="7" r:id="R4e1c502012ae4139"/>
    <x:sheet xmlns:r="http://schemas.openxmlformats.org/officeDocument/2006/relationships" name="ReadMe" sheetId="8" r:id="Rcab4b7494c5247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sz val="10"/>
      <x:color rgb="FF18334D"/>
      <x:name val="Arial"/>
    </x:font>
    <x:font>
      <x:b/>
      <x:sz val="16"/>
      <x:color rgb="FF18334D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FF2CC"/>
      </x:patternFill>
    </x:fill>
    <x:fill>
      <x:patternFill patternType="solid">
        <x:fgColor rgb="FFEDF2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9796B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7"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29796B"/>
      </x:font>
      <x:fill>
        <x:patternFill patternType="solid">
          <x:bgColor rgb="FFD9EFEA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29796B"/>
      </x:font>
      <x:fill>
        <x:patternFill patternType="solid">
          <x:bgColor rgb="FFD9EFEA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29796B"/>
      </x:font>
      <x:fill>
        <x:patternFill patternType="solid">
          <x:bgColor rgb="FFD9EFEA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29796B"/>
      </x:font>
      <x:fill>
        <x:patternFill patternType="solid">
          <x:bgColor rgb="FFD9EFEA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29796B"/>
      </x:font>
      <x:fill>
        <x:patternFill patternType="solid">
          <x:bgColor rgb="FFD9EFEA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9E332B"/>
      </x:font>
      <x:fill>
        <x:patternFill patternType="solid">
          <x:bgColor rgb="FFFBE5E1"/>
        </x:patternFill>
      </x:fill>
    </x:dxf>
    <x:dxf>
      <x:font>
        <x:b/>
        <x:color rgb="FF29796B"/>
      </x:font>
      <x:fill>
        <x:patternFill patternType="solid">
          <x:bgColor rgb="FFD9EFEA"/>
        </x:patternFill>
      </x:fill>
    </x:dxf>
    <x:dxf>
      <x:font>
        <x:color rgb="FF9E332B"/>
      </x:font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29952ac584f06" /><Relationship Type="http://schemas.openxmlformats.org/officeDocument/2006/relationships/theme" Target="/xl/theme/theme1.xml" Id="R15570800a7c14d6b" /><Relationship Type="http://schemas.openxmlformats.org/officeDocument/2006/relationships/sharedStrings" Target="/xl/sharedStrings.xml" Id="R91d5767e6272444d" /><Relationship Type="http://schemas.openxmlformats.org/officeDocument/2006/relationships/worksheet" Target="/xl/worksheets/sheet1.xml" Id="R462f2399dea34f33" /><Relationship Type="http://schemas.openxmlformats.org/officeDocument/2006/relationships/worksheet" Target="/xl/worksheets/sheet2.xml" Id="R2d23dd24e9714b85" /><Relationship Type="http://schemas.openxmlformats.org/officeDocument/2006/relationships/worksheet" Target="/xl/worksheets/sheet3.xml" Id="R0713268316684f2b" /><Relationship Type="http://schemas.openxmlformats.org/officeDocument/2006/relationships/worksheet" Target="/xl/worksheets/sheet4.xml" Id="R8a206b3c6b494c66" /><Relationship Type="http://schemas.openxmlformats.org/officeDocument/2006/relationships/worksheet" Target="/xl/worksheets/sheet5.xml" Id="R599f6bf56a7643d3" /><Relationship Type="http://schemas.openxmlformats.org/officeDocument/2006/relationships/worksheet" Target="/xl/worksheets/sheet6.xml" Id="R6a89c74546d346ce" /><Relationship Type="http://schemas.openxmlformats.org/officeDocument/2006/relationships/worksheet" Target="/xl/worksheets/sheet7.xml" Id="R4e1c502012ae4139" /><Relationship Type="http://schemas.openxmlformats.org/officeDocument/2006/relationships/worksheet" Target="/xl/worksheets/sheet8.xml" Id="Rcab4b7494c5247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583128bb1348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Acceptance gates by project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Requirements</c:v>
          </c:tx>
          <c:cat>
            <c:strRef>
              <c:f>'Dashboard'!$A$7:$A$12</c:f>
              <c:strCache>
                <c:ptCount val="0"/>
              </c:strCache>
            </c:strRef>
          </c:cat>
          <c:val>
            <c:numRef>
              <c:f>'Dashboard'!$B$7:$B$12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Ready gates</c:v>
          </c:tx>
          <c:cat>
            <c:strRef>
              <c:f>'Dashboard'!$A$7:$A$12</c:f>
              <c:strCache>
                <c:ptCount val="0"/>
              </c:strCache>
            </c:strRef>
          </c:cat>
          <c:val>
            <c:numRef>
              <c:f>'Dashboard'!$C$7:$C$12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583128bb13485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equirementsTable" displayName="RequirementsTable" ref="A5:S53" headerRowCount="1" totalsRowCount="0" totalsRowShown="0">
  <x:autoFilter ref="A5:S53"/>
  <x:tableColumns count="19">
    <x:tableColumn id="1" name="Project"/>
    <x:tableColumn id="2" name="Requirement ID"/>
    <x:tableColumn id="3" name="Requirement"/>
    <x:tableColumn id="4" name="Business need"/>
    <x:tableColumn id="5" name="Priority"/>
    <x:tableColumn id="6" name="Owner"/>
    <x:tableColumn id="7" name="Acceptance criteria"/>
    <x:tableColumn id="8" name="Story ID"/>
    <x:tableColumn id="9" name="Analysis evidence"/>
    <x:tableColumn id="10" name="Delivery status"/>
    <x:tableColumn id="11" name="Business approval"/>
    <x:tableColumn id="12" name="Reviewer"/>
    <x:tableColumn id="13" name="Approval date"/>
    <x:tableColumn id="14" name="Due date"/>
    <x:tableColumn id="15" name="Linked tests"/>
    <x:tableColumn id="16" name="Evidence-ready tests"/>
    <x:tableColumn id="17" name="Acceptance coverage"/>
    <x:tableColumn id="18" name="Release gate"/>
    <x:tableColumn id="19" name="Overd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UATTable" displayName="UATTable" ref="A5:Q149" headerRowCount="1" totalsRowCount="0" totalsRowShown="0">
  <x:autoFilter ref="A5:Q149"/>
  <x:tableColumns count="17">
    <x:tableColumn id="1" name="Project"/>
    <x:tableColumn id="2" name="Test ID"/>
    <x:tableColumn id="3" name="Requirement ID"/>
    <x:tableColumn id="4" name="Scenario"/>
    <x:tableColumn id="5" name="Preconditions"/>
    <x:tableColumn id="6" name="Steps"/>
    <x:tableColumn id="7" name="Expected result"/>
    <x:tableColumn id="8" name="Execution status"/>
    <x:tableColumn id="9" name="Actual result"/>
    <x:tableColumn id="10" name="Evidence location"/>
    <x:tableColumn id="11" name="Tester"/>
    <x:tableColumn id="12" name="Execution date"/>
    <x:tableColumn id="13" name="Due date"/>
    <x:tableColumn id="14" name="Defect ID"/>
    <x:tableColumn id="15" name="Signoff"/>
    <x:tableColumn id="16" name="Evidence gate"/>
    <x:tableColumn id="17" name="Overd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pAnalysisTable" displayName="GapAnalysisTable" ref="A5:U53" headerRowCount="1" totalsRowCount="0" totalsRowShown="0">
  <x:autoFilter ref="A5:U53"/>
  <x:tableColumns count="21">
    <x:tableColumn id="1" name="Project"/>
    <x:tableColumn id="2" name="Gap ID"/>
    <x:tableColumn id="3" name="Category"/>
    <x:tableColumn id="4" name="Gap"/>
    <x:tableColumn id="5" name="Current state"/>
    <x:tableColumn id="6" name="Current-state evidence"/>
    <x:tableColumn id="7" name="Target state"/>
    <x:tableColumn id="8" name="Business impact"/>
    <x:tableColumn id="9" name="Priority"/>
    <x:tableColumn id="10" name="Owner"/>
    <x:tableColumn id="11" name="Requirement ID"/>
    <x:tableColumn id="12" name="Dependency"/>
    <x:tableColumn id="13" name="Recommended action"/>
    <x:tableColumn id="14" name="Closure criteria"/>
    <x:tableColumn id="15" name="Status"/>
    <x:tableColumn id="16" name="Due date"/>
    <x:tableColumn id="17" name="Closure evidence"/>
    <x:tableColumn id="18" name="Reviewer"/>
    <x:tableColumn id="19" name="Closed date"/>
    <x:tableColumn id="20" name="Closure gate"/>
    <x:tableColumn id="21" name="Overd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IDTable" displayName="RAIDTable" ref="A5:J41" headerRowCount="1" totalsRowCount="0" totalsRowShown="0">
  <x:autoFilter ref="A5:J41"/>
  <x:tableColumns count="10">
    <x:tableColumn id="1" name="Project"/>
    <x:tableColumn id="2" name="ID"/>
    <x:tableColumn id="3" name="Type"/>
    <x:tableColumn id="4" name="Description"/>
    <x:tableColumn id="5" name="Impact"/>
    <x:tableColumn id="6" name="Likelihood"/>
    <x:tableColumn id="7" name="Owner"/>
    <x:tableColumn id="8" name="Response"/>
    <x:tableColumn id="9" name="Trigger"/>
    <x:tableColumn id="10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ControlTable" displayName="ChangeControlTable" ref="A5:L11" headerRowCount="1" totalsRowCount="0" totalsRowShown="0">
  <x:autoFilter ref="A5:L11"/>
  <x:tableColumns count="12">
    <x:tableColumn id="1" name="Project"/>
    <x:tableColumn id="2" name="Change ID"/>
    <x:tableColumn id="3" name="Trigger"/>
    <x:tableColumn id="4" name="Requested Change"/>
    <x:tableColumn id="5" name="Requirements Impact"/>
    <x:tableColumn id="6" name="Data Impact"/>
    <x:tableColumn id="7" name="Test Impact"/>
    <x:tableColumn id="8" name="Schedule Impact"/>
    <x:tableColumn id="9" name="Cost Impact"/>
    <x:tableColumn id="10" name="Recommendation"/>
    <x:tableColumn id="11" name="Approver"/>
    <x:tableColumn id="12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fectsTable" displayName="DefectsTable" ref="A5:I11" headerRowCount="1" totalsRowCount="0" totalsRowShown="0">
  <x:autoFilter ref="A5:I11"/>
  <x:tableColumns count="9">
    <x:tableColumn id="1" name="Project"/>
    <x:tableColumn id="2" name="Defect ID"/>
    <x:tableColumn id="3" name="Linked Test"/>
    <x:tableColumn id="4" name="Severity"/>
    <x:tableColumn id="5" name="Description"/>
    <x:tableColumn id="6" name="Status"/>
    <x:tableColumn id="7" name="Owner"/>
    <x:tableColumn id="8" name="Reproduction"/>
    <x:tableColumn id="9" name="Dispo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6f455c4f7042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2199ad8c5747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815fb577074f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972d4ecaef40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892cbed9f649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65450ea3ae49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bd3bc077034b24" /></Relationships>
</file>

<file path=xl/worksheets/sheet1.xml><?xml version="1.0" encoding="utf-8"?>
<x:worksheet xmlns:x="http://schemas.openxmlformats.org/spreadsheetml/2006/main">
  <x:sheetPr>
    <x:tabColor rgb="FF18334D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3" t="str">
        <x:v>Portfolio delivery | management review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5" customHeight="1">
      <x:c r="A4" s="2" t="str">
        <x:v>Report date</x:v>
      </x:c>
      <x:c r="B4" s="16" t="d">
        <x:v>2026-10-09T00:00:00.000Z</x:v>
      </x:c>
      <x:c r="C4" s="2"/>
      <x:c r="D4" s="2" t="str">
        <x:v>Project filter</x:v>
      </x:c>
      <x:c r="E4" s="2"/>
      <x:c r="F4" s="17" t="str">
        <x:v>All</x:v>
      </x:c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5" customHeight="1">
      <x:c r="A6" s="7" t="str">
        <x:v>Project</x:v>
      </x:c>
      <x:c r="B6" s="7" t="str">
        <x:v>Requirements</x:v>
      </x:c>
      <x:c r="C6" s="7" t="str">
        <x:v>Ready gates</x:v>
      </x:c>
      <x:c r="D6" s="7" t="str">
        <x:v>UAT ready</x:v>
      </x:c>
      <x:c r="E6" s="7" t="str">
        <x:v>Open gaps</x:v>
      </x:c>
      <x:c r="F6" s="7" t="str">
        <x:v>Release position</x:v>
      </x:c>
      <x:c r="G6" s="2"/>
      <x:c r="H6" s="2"/>
      <x:c r="I6" s="2"/>
      <x:c r="J6" s="2"/>
      <x:c r="K6" s="2"/>
      <x:c r="L6" s="2"/>
      <x:c r="M6" s="2"/>
      <x:c r="N6" s="2"/>
    </x:row>
    <x:row r="7" ht="30" customHeight="1">
      <x:c r="A7" s="2" t="str">
        <x:v>MKT</x:v>
      </x:c>
      <x:c r="B7" s="2" t="n">
        <x:f>COUNTIFS(Requirements!$A$6:$A$53,A7)</x:f>
        <x:v>8</x:v>
      </x:c>
      <x:c r="C7" s="2" t="n">
        <x:f>COUNTIFS(Requirements!$A$6:$A$53,A7,Requirements!$R$6:$R$53,"Ready")</x:f>
        <x:v>0</x:v>
      </x:c>
      <x:c r="D7" s="2" t="n">
        <x:f>COUNTIFS(UAT!$A$6:$A$149,A7,UAT!$P$6:$P$149,"Ready")</x:f>
        <x:v>0</x:v>
      </x:c>
      <x:c r="E7" s="2" t="n">
        <x:f>COUNTIFS('Gap Analysis'!$A$6:$A$53,A7)-COUNTIFS('Gap Analysis'!$A$6:$A$53,A7,'Gap Analysis'!$T$6:$T$53,"Ready")</x:f>
        <x:v>8</x:v>
      </x:c>
      <x:c r="F7" s="2" t="str">
        <x:f>IF(AND(B7&gt;0,C7=B7,E7=0),"Ready for review","Hold")</x:f>
        <x:v>Hold</x:v>
      </x:c>
      <x:c r="G7" s="2"/>
      <x:c r="H7" s="2"/>
      <x:c r="I7" s="2"/>
      <x:c r="J7" s="2"/>
      <x:c r="K7" s="2"/>
      <x:c r="L7" s="2"/>
      <x:c r="M7" s="2"/>
      <x:c r="N7" s="2"/>
    </x:row>
    <x:row r="8" ht="30" customHeight="1">
      <x:c r="A8" s="2" t="str">
        <x:v>ECOM</x:v>
      </x:c>
      <x:c r="B8" s="2" t="n">
        <x:f>COUNTIFS(Requirements!$A$6:$A$53,A8)</x:f>
        <x:v>8</x:v>
      </x:c>
      <x:c r="C8" s="2" t="n">
        <x:f>COUNTIFS(Requirements!$A$6:$A$53,A8,Requirements!$R$6:$R$53,"Ready")</x:f>
        <x:v>0</x:v>
      </x:c>
      <x:c r="D8" s="2" t="n">
        <x:f>COUNTIFS(UAT!$A$6:$A$149,A8,UAT!$P$6:$P$149,"Ready")</x:f>
        <x:v>0</x:v>
      </x:c>
      <x:c r="E8" s="2" t="n">
        <x:f>COUNTIFS('Gap Analysis'!$A$6:$A$53,A8)-COUNTIFS('Gap Analysis'!$A$6:$A$53,A8,'Gap Analysis'!$T$6:$T$53,"Ready")</x:f>
        <x:v>8</x:v>
      </x:c>
      <x:c r="F8" s="2" t="str">
        <x:f>IF(AND(B8&gt;0,C8=B8,E8=0),"Ready for review","Hold")</x:f>
        <x:v>Hold</x:v>
      </x:c>
      <x:c r="G8" s="2"/>
      <x:c r="H8" s="2"/>
      <x:c r="I8" s="2"/>
      <x:c r="J8" s="2"/>
      <x:c r="K8" s="2"/>
      <x:c r="L8" s="2"/>
      <x:c r="M8" s="2"/>
      <x:c r="N8" s="2"/>
    </x:row>
    <x:row r="9" ht="30" customHeight="1">
      <x:c r="A9" s="2" t="str">
        <x:v>FIN</x:v>
      </x:c>
      <x:c r="B9" s="2" t="n">
        <x:f>COUNTIFS(Requirements!$A$6:$A$53,A9)</x:f>
        <x:v>8</x:v>
      </x:c>
      <x:c r="C9" s="2" t="n">
        <x:f>COUNTIFS(Requirements!$A$6:$A$53,A9,Requirements!$R$6:$R$53,"Ready")</x:f>
        <x:v>0</x:v>
      </x:c>
      <x:c r="D9" s="2" t="n">
        <x:f>COUNTIFS(UAT!$A$6:$A$149,A9,UAT!$P$6:$P$149,"Ready")</x:f>
        <x:v>0</x:v>
      </x:c>
      <x:c r="E9" s="2" t="n">
        <x:f>COUNTIFS('Gap Analysis'!$A$6:$A$53,A9)-COUNTIFS('Gap Analysis'!$A$6:$A$53,A9,'Gap Analysis'!$T$6:$T$53,"Ready")</x:f>
        <x:v>8</x:v>
      </x:c>
      <x:c r="F9" s="2" t="str">
        <x:f>IF(AND(B9&gt;0,C9=B9,E9=0),"Ready for review","Hold")</x:f>
        <x:v>Hold</x:v>
      </x:c>
      <x:c r="G9" s="2"/>
      <x:c r="H9" s="2"/>
      <x:c r="I9" s="2"/>
      <x:c r="J9" s="2"/>
      <x:c r="K9" s="2"/>
      <x:c r="L9" s="2"/>
      <x:c r="M9" s="2"/>
      <x:c r="N9" s="2"/>
    </x:row>
    <x:row r="10" ht="30" customHeight="1">
      <x:c r="A10" s="2" t="str">
        <x:v>ADS</x:v>
      </x:c>
      <x:c r="B10" s="2" t="n">
        <x:f>COUNTIFS(Requirements!$A$6:$A$53,A10)</x:f>
        <x:v>8</x:v>
      </x:c>
      <x:c r="C10" s="2" t="n">
        <x:f>COUNTIFS(Requirements!$A$6:$A$53,A10,Requirements!$R$6:$R$53,"Ready")</x:f>
        <x:v>0</x:v>
      </x:c>
      <x:c r="D10" s="2" t="n">
        <x:f>COUNTIFS(UAT!$A$6:$A$149,A10,UAT!$P$6:$P$149,"Ready")</x:f>
        <x:v>0</x:v>
      </x:c>
      <x:c r="E10" s="2" t="n">
        <x:f>COUNTIFS('Gap Analysis'!$A$6:$A$53,A10)-COUNTIFS('Gap Analysis'!$A$6:$A$53,A10,'Gap Analysis'!$T$6:$T$53,"Ready")</x:f>
        <x:v>8</x:v>
      </x:c>
      <x:c r="F10" s="2" t="str">
        <x:f>IF(AND(B10&gt;0,C10=B10,E10=0),"Ready for review","Hold")</x:f>
        <x:v>Hold</x:v>
      </x:c>
      <x:c r="G10" s="2"/>
      <x:c r="H10" s="2"/>
      <x:c r="I10" s="2"/>
      <x:c r="J10" s="2"/>
      <x:c r="K10" s="2"/>
      <x:c r="L10" s="2"/>
      <x:c r="M10" s="2"/>
      <x:c r="N10" s="2"/>
    </x:row>
    <x:row r="11" ht="30" customHeight="1">
      <x:c r="A11" s="2" t="str">
        <x:v>REG</x:v>
      </x:c>
      <x:c r="B11" s="2" t="n">
        <x:f>COUNTIFS(Requirements!$A$6:$A$53,A11)</x:f>
        <x:v>8</x:v>
      </x:c>
      <x:c r="C11" s="2" t="n">
        <x:f>COUNTIFS(Requirements!$A$6:$A$53,A11,Requirements!$R$6:$R$53,"Ready")</x:f>
        <x:v>0</x:v>
      </x:c>
      <x:c r="D11" s="2" t="n">
        <x:f>COUNTIFS(UAT!$A$6:$A$149,A11,UAT!$P$6:$P$149,"Ready")</x:f>
        <x:v>0</x:v>
      </x:c>
      <x:c r="E11" s="2" t="n">
        <x:f>COUNTIFS('Gap Analysis'!$A$6:$A$53,A11)-COUNTIFS('Gap Analysis'!$A$6:$A$53,A11,'Gap Analysis'!$T$6:$T$53,"Ready")</x:f>
        <x:v>8</x:v>
      </x:c>
      <x:c r="F11" s="2" t="str">
        <x:f>IF(AND(B11&gt;0,C11=B11,E11=0),"Ready for review","Hold")</x:f>
        <x:v>Hold</x:v>
      </x:c>
      <x:c r="G11" s="2"/>
      <x:c r="H11" s="2"/>
      <x:c r="I11" s="2"/>
      <x:c r="J11" s="2"/>
      <x:c r="K11" s="2"/>
      <x:c r="L11" s="2"/>
      <x:c r="M11" s="2"/>
      <x:c r="N11" s="2"/>
    </x:row>
    <x:row r="12" ht="30" customHeight="1">
      <x:c r="A12" s="2" t="str">
        <x:v>CRM</x:v>
      </x:c>
      <x:c r="B12" s="2" t="n">
        <x:f>COUNTIFS(Requirements!$A$6:$A$53,A12)</x:f>
        <x:v>8</x:v>
      </x:c>
      <x:c r="C12" s="2" t="n">
        <x:f>COUNTIFS(Requirements!$A$6:$A$53,A12,Requirements!$R$6:$R$53,"Ready")</x:f>
        <x:v>0</x:v>
      </x:c>
      <x:c r="D12" s="2" t="n">
        <x:f>COUNTIFS(UAT!$A$6:$A$149,A12,UAT!$P$6:$P$149,"Ready")</x:f>
        <x:v>0</x:v>
      </x:c>
      <x:c r="E12" s="2" t="n">
        <x:f>COUNTIFS('Gap Analysis'!$A$6:$A$53,A12)-COUNTIFS('Gap Analysis'!$A$6:$A$53,A12,'Gap Analysis'!$T$6:$T$53,"Ready")</x:f>
        <x:v>8</x:v>
      </x:c>
      <x:c r="F12" s="2" t="str">
        <x:f>IF(AND(B12&gt;0,C12=B12,E12=0),"Ready for review","Hold")</x:f>
        <x:v>Hold</x:v>
      </x:c>
      <x:c r="G12" s="2"/>
      <x:c r="H12" s="2"/>
      <x:c r="I12" s="2"/>
      <x:c r="J12" s="2"/>
      <x:c r="K12" s="2"/>
      <x:c r="L12" s="2"/>
      <x:c r="M12" s="2"/>
      <x:c r="N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5" customHeight="1">
      <x:c r="A15" s="2" t="str">
        <x:v>Selected scope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5" customHeight="1">
      <x:c r="A17" s="6" t="str">
        <x:v>Measure</x:v>
      </x:c>
      <x:c r="B17" s="6" t="str">
        <x:v>Count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5" customHeight="1">
      <x:c r="A18" s="2" t="str">
        <x:v>Requirements</x:v>
      </x:c>
      <x:c r="B18" s="2" t="n">
        <x:f>IF($F$4="All",COUNTA('Requirements'!$B$6:$B$53),COUNTIFS('Requirements'!$A$6:$A$53,$F$4))</x:f>
        <x:v>48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5" customHeight="1">
      <x:c r="A19" s="2" t="str">
        <x:v>Ready gates</x:v>
      </x:c>
      <x:c r="B19" s="2" t="n">
        <x:f>IF($F$4="All",SUM(C7:C12),SUMIFS(C7:C12,A7:A12,$F$4))</x:f>
        <x:v>0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5" customHeight="1">
      <x:c r="A20" s="2" t="str">
        <x:v>UAT cases</x:v>
      </x:c>
      <x:c r="B20" s="2" t="n">
        <x:f>IF($F$4="All",COUNTA('UAT'!$B$6:$B$149),COUNTIFS('UAT'!$A$6:$A$149,$F$4))</x:f>
        <x:v>144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5" customHeight="1">
      <x:c r="A21" s="2" t="str">
        <x:v>UAT ready</x:v>
      </x:c>
      <x:c r="B21" s="2" t="n">
        <x:f>IF($F$4="All",SUM(D7:D12),SUMIFS(D7:D12,A7:A12,$F$4))</x:f>
        <x:v>0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5" customHeight="1">
      <x:c r="A22" s="2" t="str">
        <x:v>Open gaps</x:v>
      </x:c>
      <x:c r="B22" s="2" t="n">
        <x:f>IF($F$4="All",SUM(E7:E12),SUMIFS(E7:E12,A7:A12,$F$4))</x:f>
        <x:v>48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5" customHeight="1">
      <x:c r="A25" s="2" t="str">
        <x:v>Management action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8" customHeight="1">
      <x:c r="A26" s="2" t="str">
        <x:v>Complete UAT evidence, obtain independent approval, and resolve release gaps.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5" customHeight="1">
      <x:c r="A29" s="2" t="str">
        <x:v>Scope: simulated portfolio delivery. Dates, approvals and business outcomes are unverified until recorded.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5" customHeight="1">
      <x:c r="A31" s="2" t="str">
        <x:v>Excel is a planning and review tool; use the local system for enforced roles and audit history.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5" customHeight="1">
      <x:c r="A33" s="2" t="str">
        <x:v>Amber = editable input. Gray = calculated control. Red = incomplete or overdue.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5" customHeight="1">
      <x:c r="A35" s="2" t="str">
        <x:v>Source: project Delivery CSV registers; workbook execution fields start blank by design.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</x:sheetData>
  <x:conditionalFormatting sqref="F7:F12">
    <x:cfRule type="containsText" dxfId="36" priority="1" operator="containsText" text="Hold"/>
  </x:conditionalFormatting>
  <x:dataValidations count="1">
    <x:dataValidation type="list" sqref="F4">
      <x:formula1>"All,MKT,ECOM,FIN,ADS,REG,CRM"</x:formula1>
    </x:dataValidation>
  </x:dataValidations>
  <x:pageMargins left="0.7" right="0.7" top="0.75" bottom="0.75" header="0.3" footer="0.3"/>
  <x:drawing xmlns:r="http://schemas.openxmlformats.org/officeDocument/2006/relationships" r:id="R966f455c4f70429e"/>
</x:worksheet>
</file>

<file path=xl/worksheets/sheet2.xml><?xml version="1.0" encoding="utf-8"?>
<x:worksheet xmlns:x="http://schemas.openxmlformats.org/spreadsheetml/2006/main">
  <x:sheetPr>
    <x:tabColor rgb="FF1833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40" hidden="0" customWidth="1"/>
    <x:col min="4" max="4" width="60" hidden="0" customWidth="1"/>
    <x:col min="5" max="5" width="15" hidden="0" customWidth="1"/>
    <x:col min="6" max="6" width="30" hidden="0" customWidth="1"/>
    <x:col min="7" max="7" width="60" hidden="0" customWidth="1"/>
    <x:col min="8" max="8" width="22" hidden="0" customWidth="1"/>
    <x:col min="9" max="9" width="30" hidden="0" customWidth="1"/>
    <x:col min="10" max="10" width="28" hidden="0" customWidth="1"/>
    <x:col min="11" max="11" width="22" hidden="0" customWidth="1"/>
    <x:col min="12" max="12" width="25" hidden="0" customWidth="1"/>
    <x:col min="13" max="13" width="18" hidden="0" customWidth="1"/>
    <x:col min="14" max="14" width="18" hidden="0" customWidth="1"/>
    <x:col min="15" max="15" width="18" hidden="0" customWidth="1"/>
    <x:col min="16" max="16" width="22" hidden="0" customWidth="1"/>
    <x:col min="17" max="17" width="20" hidden="0" customWidth="1"/>
    <x:col min="18" max="18" width="25" hidden="0" customWidth="1"/>
    <x:col min="19" max="19" width="2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5" customHeight="1">
      <x:c r="A2" s="3" t="str">
        <x:v>Requirements and release gates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40" customHeight="1">
      <x:c r="A5" s="8" t="str">
        <x:v>Project</x:v>
      </x:c>
      <x:c r="B5" s="8" t="str">
        <x:v>Requirement ID</x:v>
      </x:c>
      <x:c r="C5" s="8" t="str">
        <x:v>Requirement</x:v>
      </x:c>
      <x:c r="D5" s="8" t="str">
        <x:v>Business need</x:v>
      </x:c>
      <x:c r="E5" s="8" t="str">
        <x:v>Priority</x:v>
      </x:c>
      <x:c r="F5" s="8" t="str">
        <x:v>Owner</x:v>
      </x:c>
      <x:c r="G5" s="8" t="str">
        <x:v>Acceptance criteria</x:v>
      </x:c>
      <x:c r="H5" s="8" t="str">
        <x:v>Story ID</x:v>
      </x:c>
      <x:c r="I5" s="8" t="str">
        <x:v>Analysis evidence</x:v>
      </x:c>
      <x:c r="J5" s="8" t="str">
        <x:v>Delivery status</x:v>
      </x:c>
      <x:c r="K5" s="8" t="str">
        <x:v>Business approval</x:v>
      </x:c>
      <x:c r="L5" s="8" t="str">
        <x:v>Reviewer</x:v>
      </x:c>
      <x:c r="M5" s="8" t="str">
        <x:v>Approval date</x:v>
      </x:c>
      <x:c r="N5" s="8" t="str">
        <x:v>Due date</x:v>
      </x:c>
      <x:c r="O5" s="8" t="str">
        <x:v>Linked tests</x:v>
      </x:c>
      <x:c r="P5" s="8" t="str">
        <x:v>Evidence-ready tests</x:v>
      </x:c>
      <x:c r="Q5" s="8" t="str">
        <x:v>Acceptance coverage</x:v>
      </x:c>
      <x:c r="R5" s="8" t="str">
        <x:v>Release gate</x:v>
      </x:c>
      <x:c r="S5" s="8" t="str">
        <x:v>Overdue</x:v>
      </x:c>
    </x:row>
    <x:row r="6" ht="54" customHeight="1">
      <x:c r="A6" s="10" t="str">
        <x:v>MKT</x:v>
      </x:c>
      <x:c r="B6" s="10" t="str">
        <x:v>MKT-REQ-01</x:v>
      </x:c>
      <x:c r="C6" s="10" t="str">
        <x:v>Ingest marketplace records</x:v>
      </x:c>
      <x:c r="D6" s="10" t="str">
        <x:v>Which seller/category combinations deserve an operational review, and which KPI definitions must be standardized before the next monthly business review?</x:v>
      </x:c>
      <x:c r="E6" s="10" t="str">
        <x:v>Must</x:v>
      </x:c>
      <x:c r="F6" s="10" t="str">
        <x:v>Marketplace Operations Manager</x:v>
      </x:c>
      <x:c r="G6" s="10" t="str">
        <x:v>Every source record has one source_row and the aggregate GMV reconciles within $0.01.</x:v>
      </x:c>
      <x:c r="H6" s="10" t="str">
        <x:v>MKT-US-01</x:v>
      </x:c>
      <x:c r="I6" s="10" t="str">
        <x:v>Analysis/Q01.csv</x:v>
      </x:c>
      <x:c r="J6" s="10" t="str">
        <x:v>Analysis prototype delivered</x:v>
      </x:c>
      <x:c r="K6" s="11" t="str">
        <x:v>Pending</x:v>
      </x:c>
      <x:c r="L6" s="11" t="str"/>
      <x:c r="M6" s="12"/>
      <x:c r="N6" s="12"/>
      <x:c r="O6" s="13" t="n">
        <x:f>COUNTIFS(UAT!$C$6:$C$149,B6)</x:f>
        <x:v>3</x:v>
      </x:c>
      <x:c r="P6" s="13" t="n">
        <x:f>COUNTIFS(UAT!$C$6:$C$149,B6,UAT!$P$6:$P$149,"Ready")</x:f>
        <x:v>0</x:v>
      </x:c>
      <x:c r="Q6" s="14" t="n">
        <x:f>IF(O6=0,0,P6/O6)</x:f>
        <x:v>0</x:v>
      </x:c>
      <x:c r="R6" s="13" t="str">
        <x:f>IF(O6=0,"Blocked: no tests",IF(P6&lt;O6,"Blocked: UAT",IF(AND(K6="Approved",LEN(L6)&gt;0,ISNUMBER(M6)),"Ready","Hold: approval")))</x:f>
        <x:v>Blocked: UAT</x:v>
      </x:c>
      <x:c r="S6" s="13" t="str">
        <x:f>IF(ISNUMBER(N6),IF(AND(N6&lt;Dashboard!$B$4,R6&lt;&gt;"Ready"),"Overdue","On track"),"No due date")</x:f>
        <x:v>No due date</x:v>
      </x:c>
    </x:row>
    <x:row r="7" ht="54" customHeight="1">
      <x:c r="A7" s="10" t="str">
        <x:v>MKT</x:v>
      </x:c>
      <x:c r="B7" s="10" t="str">
        <x:v>MKT-REQ-02</x:v>
      </x:c>
      <x:c r="C7" s="10" t="str">
        <x:v>Separate GMV from platform revenue</x:v>
      </x:c>
      <x:c r="D7" s="10" t="str">
        <x:v>Which seller/category combinations deserve an operational review, and which KPI definitions must be standardized before the next monthly business review?</x:v>
      </x:c>
      <x:c r="E7" s="10" t="str">
        <x:v>Must</x:v>
      </x:c>
      <x:c r="F7" s="10" t="str">
        <x:v>Marketplace Operations Manager</x:v>
      </x:c>
      <x:c r="G7" s="10" t="str">
        <x:v>Portfolio totals match Q01 and neither measure is described as profit.</x:v>
      </x:c>
      <x:c r="H7" s="10" t="str">
        <x:v>MKT-US-02</x:v>
      </x:c>
      <x:c r="I7" s="10" t="str">
        <x:v>Analysis/Q01.csv</x:v>
      </x:c>
      <x:c r="J7" s="10" t="str">
        <x:v>Analysis prototype delivered</x:v>
      </x:c>
      <x:c r="K7" s="11" t="str">
        <x:v>Pending</x:v>
      </x:c>
      <x:c r="L7" s="11" t="str"/>
      <x:c r="M7" s="12" t="str"/>
      <x:c r="N7" s="12"/>
      <x:c r="O7" s="13" t="n">
        <x:f>COUNTIFS(UAT!$C$6:$C$149,B7)</x:f>
        <x:v>3</x:v>
      </x:c>
      <x:c r="P7" s="13" t="n">
        <x:f>COUNTIFS(UAT!$C$6:$C$149,B7,UAT!$P$6:$P$149,"Ready")</x:f>
        <x:v>0</x:v>
      </x:c>
      <x:c r="Q7" s="14" t="n">
        <x:f>IF(O7=0,0,P7/O7)</x:f>
        <x:v>0</x:v>
      </x:c>
      <x:c r="R7" s="13" t="str">
        <x:f>IF(O7=0,"Blocked: no tests",IF(P7&lt;O7,"Blocked: UAT",IF(AND(K7="Approved",LEN(L7)&gt;0,ISNUMBER(M7)),"Ready","Hold: approval")))</x:f>
        <x:v>Blocked: UAT</x:v>
      </x:c>
      <x:c r="S7" s="13" t="str">
        <x:f>IF(ISNUMBER(N7),IF(AND(N7&lt;Dashboard!$B$4,R7&lt;&gt;"Ready"),"Overdue","On track"),"No due date")</x:f>
        <x:v>No due date</x:v>
      </x:c>
    </x:row>
    <x:row r="8" ht="54" customHeight="1">
      <x:c r="A8" s="10" t="str">
        <x:v>MKT</x:v>
      </x:c>
      <x:c r="B8" s="10" t="str">
        <x:v>MKT-REQ-03</x:v>
      </x:c>
      <x:c r="C8" s="10" t="str">
        <x:v>Calculate weighted take rate</x:v>
      </x:c>
      <x:c r="D8" s="10" t="str">
        <x:v>Which seller/category combinations deserve an operational review, and which KPI definitions must be standardized before the next monthly business review?</x:v>
      </x:c>
      <x:c r="E8" s="10" t="str">
        <x:v>Must</x:v>
      </x:c>
      <x:c r="F8" s="10" t="str">
        <x:v>Marketplace Operations Manager</x:v>
      </x:c>
      <x:c r="G8" s="10" t="str">
        <x:v>A two-row fixture with unequal GMV produces the ratio of sums; zero GMV returns null.</x:v>
      </x:c>
      <x:c r="H8" s="10" t="str">
        <x:v>MKT-US-03</x:v>
      </x:c>
      <x:c r="I8" s="10" t="str">
        <x:v>Analysis/Q02.csv</x:v>
      </x:c>
      <x:c r="J8" s="10" t="str">
        <x:v>Analysis prototype delivered</x:v>
      </x:c>
      <x:c r="K8" s="11" t="str">
        <x:v>Pending</x:v>
      </x:c>
      <x:c r="L8" s="11" t="str"/>
      <x:c r="M8" s="12" t="str"/>
      <x:c r="N8" s="12" t="str"/>
      <x:c r="O8" s="13" t="n">
        <x:f>COUNTIFS(UAT!$C$6:$C$149,B8)</x:f>
        <x:v>3</x:v>
      </x:c>
      <x:c r="P8" s="13" t="n">
        <x:f>COUNTIFS(UAT!$C$6:$C$149,B8,UAT!$P$6:$P$149,"Ready")</x:f>
        <x:v>0</x:v>
      </x:c>
      <x:c r="Q8" s="14" t="n">
        <x:f>IF(O8=0,0,P8/O8)</x:f>
        <x:v>0</x:v>
      </x:c>
      <x:c r="R8" s="13" t="str">
        <x:f>IF(O8=0,"Blocked: no tests",IF(P8&lt;O8,"Blocked: UAT",IF(AND(K8="Approved",LEN(L8)&gt;0,ISNUMBER(M8)),"Ready","Hold: approval")))</x:f>
        <x:v>Blocked: UAT</x:v>
      </x:c>
      <x:c r="S8" s="13" t="str">
        <x:f>IF(ISNUMBER(N8),IF(AND(N8&lt;Dashboard!$B$4,R8&lt;&gt;"Ready"),"Overdue","On track"),"No due date")</x:f>
        <x:v>No due date</x:v>
      </x:c>
    </x:row>
    <x:row r="9" ht="54" customHeight="1">
      <x:c r="A9" s="10" t="str">
        <x:v>MKT</x:v>
      </x:c>
      <x:c r="B9" s="10" t="str">
        <x:v>MKT-REQ-04</x:v>
      </x:c>
      <x:c r="C9" s="10" t="str">
        <x:v>Review seller concentration</x:v>
      </x:c>
      <x:c r="D9" s="10" t="str">
        <x:v>Which seller/category combinations deserve an operational review, and which KPI definitions must be standardized before the next monthly business review?</x:v>
      </x:c>
      <x:c r="E9" s="10" t="str">
        <x:v>Must</x:v>
      </x:c>
      <x:c r="F9" s="10" t="str">
        <x:v>Marketplace Operations Manager</x:v>
      </x:c>
      <x:c r="G9" s="10" t="str">
        <x:v>Seller GMV sums to the portfolio GMV; all shares sum to 1 within tolerance.</x:v>
      </x:c>
      <x:c r="H9" s="10" t="str">
        <x:v>MKT-US-04</x:v>
      </x:c>
      <x:c r="I9" s="10" t="str">
        <x:v>Analysis/Q03.csv</x:v>
      </x:c>
      <x:c r="J9" s="10" t="str">
        <x:v>Analysis prototype delivered</x:v>
      </x:c>
      <x:c r="K9" s="11" t="str">
        <x:v>Pending</x:v>
      </x:c>
      <x:c r="L9" s="11" t="str"/>
      <x:c r="M9" s="12" t="str"/>
      <x:c r="N9" s="12" t="str"/>
      <x:c r="O9" s="13" t="n">
        <x:f>COUNTIFS(UAT!$C$6:$C$149,B9)</x:f>
        <x:v>3</x:v>
      </x:c>
      <x:c r="P9" s="13" t="n">
        <x:f>COUNTIFS(UAT!$C$6:$C$149,B9,UAT!$P$6:$P$149,"Ready")</x:f>
        <x:v>0</x:v>
      </x:c>
      <x:c r="Q9" s="14" t="n">
        <x:f>IF(O9=0,0,P9/O9)</x:f>
        <x:v>0</x:v>
      </x:c>
      <x:c r="R9" s="13" t="str">
        <x:f>IF(O9=0,"Blocked: no tests",IF(P9&lt;O9,"Blocked: UAT",IF(AND(K9="Approved",LEN(L9)&gt;0,ISNUMBER(M9)),"Ready","Hold: approval")))</x:f>
        <x:v>Blocked: UAT</x:v>
      </x:c>
      <x:c r="S9" s="13" t="str">
        <x:f>IF(ISNUMBER(N9),IF(AND(N9&lt;Dashboard!$B$4,R9&lt;&gt;"Ready"),"Overdue","On track"),"No due date")</x:f>
        <x:v>No due date</x:v>
      </x:c>
    </x:row>
    <x:row r="10" ht="54" customHeight="1">
      <x:c r="A10" s="10" t="str">
        <x:v>MKT</x:v>
      </x:c>
      <x:c r="B10" s="10" t="str">
        <x:v>MKT-REQ-05</x:v>
      </x:c>
      <x:c r="C10" s="10" t="str">
        <x:v>Identify product contribution</x:v>
      </x:c>
      <x:c r="D10" s="10" t="str">
        <x:v>Which seller/category combinations deserve an operational review, and which KPI definitions must be standardized before the next monthly business review?</x:v>
      </x:c>
      <x:c r="E10" s="10" t="str">
        <x:v>Should</x:v>
      </x:c>
      <x:c r="F10" s="10" t="str">
        <x:v>Marketplace Operations Manager</x:v>
      </x:c>
      <x:c r="G10" s="10" t="str">
        <x:v>Cumulative share is nondecreasing and the final row reaches 1.</x:v>
      </x:c>
      <x:c r="H10" s="10" t="str">
        <x:v>MKT-US-05</x:v>
      </x:c>
      <x:c r="I10" s="10" t="str">
        <x:v>Analysis/Q04.csv</x:v>
      </x:c>
      <x:c r="J10" s="10" t="str">
        <x:v>Analysis prototype delivered</x:v>
      </x:c>
      <x:c r="K10" s="11" t="str">
        <x:v>Pending</x:v>
      </x:c>
      <x:c r="L10" s="11" t="str"/>
      <x:c r="M10" s="12" t="str"/>
      <x:c r="N10" s="12" t="str"/>
      <x:c r="O10" s="13" t="n">
        <x:f>COUNTIFS(UAT!$C$6:$C$149,B10)</x:f>
        <x:v>3</x:v>
      </x:c>
      <x:c r="P10" s="13" t="n">
        <x:f>COUNTIFS(UAT!$C$6:$C$149,B10,UAT!$P$6:$P$149,"Ready")</x:f>
        <x:v>0</x:v>
      </x:c>
      <x:c r="Q10" s="14" t="n">
        <x:f>IF(O10=0,0,P10/O10)</x:f>
        <x:v>0</x:v>
      </x:c>
      <x:c r="R10" s="13" t="str">
        <x:f>IF(O10=0,"Blocked: no tests",IF(P10&lt;O10,"Blocked: UAT",IF(AND(K10="Approved",LEN(L10)&gt;0,ISNUMBER(M10)),"Ready","Hold: approval")))</x:f>
        <x:v>Blocked: UAT</x:v>
      </x:c>
      <x:c r="S10" s="13" t="str">
        <x:f>IF(ISNUMBER(N10),IF(AND(N10&lt;Dashboard!$B$4,R10&lt;&gt;"Ready"),"Overdue","On track"),"No due date")</x:f>
        <x:v>No due date</x:v>
      </x:c>
    </x:row>
    <x:row r="11" ht="54" customHeight="1">
      <x:c r="A11" s="10" t="str">
        <x:v>MKT</x:v>
      </x:c>
      <x:c r="B11" s="10" t="str">
        <x:v>MKT-REQ-06</x:v>
      </x:c>
      <x:c r="C11" s="10" t="str">
        <x:v>Show monthly changes</x:v>
      </x:c>
      <x:c r="D11" s="10" t="str">
        <x:v>Which seller/category combinations deserve an operational review, and which KPI definitions must be standardized before the next monthly business review?</x:v>
      </x:c>
      <x:c r="E11" s="10" t="str">
        <x:v>Should</x:v>
      </x:c>
      <x:c r="F11" s="10" t="str">
        <x:v>Marketplace Operations Manager</x:v>
      </x:c>
      <x:c r="G11" s="10" t="str">
        <x:v>First month has no prior comparison; months sort chronologically.</x:v>
      </x:c>
      <x:c r="H11" s="10" t="str">
        <x:v>MKT-US-06</x:v>
      </x:c>
      <x:c r="I11" s="10" t="str">
        <x:v>Analysis/Q02.csv</x:v>
      </x:c>
      <x:c r="J11" s="10" t="str">
        <x:v>Analysis prototype delivered</x:v>
      </x:c>
      <x:c r="K11" s="11" t="str">
        <x:v>Pending</x:v>
      </x:c>
      <x:c r="L11" s="11" t="str"/>
      <x:c r="M11" s="12" t="str"/>
      <x:c r="N11" s="12" t="str"/>
      <x:c r="O11" s="13" t="n">
        <x:f>COUNTIFS(UAT!$C$6:$C$149,B11)</x:f>
        <x:v>3</x:v>
      </x:c>
      <x:c r="P11" s="13" t="n">
        <x:f>COUNTIFS(UAT!$C$6:$C$149,B11,UAT!$P$6:$P$149,"Ready")</x:f>
        <x:v>0</x:v>
      </x:c>
      <x:c r="Q11" s="14" t="n">
        <x:f>IF(O11=0,0,P11/O11)</x:f>
        <x:v>0</x:v>
      </x:c>
      <x:c r="R11" s="13" t="str">
        <x:f>IF(O11=0,"Blocked: no tests",IF(P11&lt;O11,"Blocked: UAT",IF(AND(K11="Approved",LEN(L11)&gt;0,ISNUMBER(M11)),"Ready","Hold: approval")))</x:f>
        <x:v>Blocked: UAT</x:v>
      </x:c>
      <x:c r="S11" s="13" t="str">
        <x:f>IF(ISNUMBER(N11),IF(AND(N11&lt;Dashboard!$B$4,R11&lt;&gt;"Ready"),"Overdue","On track"),"No due date")</x:f>
        <x:v>No due date</x:v>
      </x:c>
    </x:row>
    <x:row r="12" ht="54" customHeight="1">
      <x:c r="A12" s="10" t="str">
        <x:v>MKT</x:v>
      </x:c>
      <x:c r="B12" s="10" t="str">
        <x:v>MKT-REQ-07</x:v>
      </x:c>
      <x:c r="C12" s="10" t="str">
        <x:v>Govern extracts and access</x:v>
      </x:c>
      <x:c r="D12" s="10" t="str">
        <x:v>Which seller/category combinations deserve an operational review, and which KPI definitions must be standardized before the next monthly business review?</x:v>
      </x:c>
      <x:c r="E12" s="10" t="str">
        <x:v>Must</x:v>
      </x:c>
      <x:c r="F12" s="10" t="str">
        <x:v>Marketplace Operations Manager</x:v>
      </x:c>
      <x:c r="G12" s="10" t="str">
        <x:v>A future role test denies viewer export and records an audit event; current CSV prototype is local only.</x:v>
      </x:c>
      <x:c r="H12" s="10" t="str">
        <x:v>MKT-US-07</x:v>
      </x:c>
      <x:c r="I12" s="10" t="str">
        <x:v>Docs/07_BI_and_System_Design.md</x:v>
      </x:c>
      <x:c r="J12" s="10" t="str">
        <x:v>Design specified; implementation pending</x:v>
      </x:c>
      <x:c r="K12" s="11" t="str">
        <x:v>Pending</x:v>
      </x:c>
      <x:c r="L12" s="11" t="str"/>
      <x:c r="M12" s="12" t="str"/>
      <x:c r="N12" s="12" t="str"/>
      <x:c r="O12" s="13" t="n">
        <x:f>COUNTIFS(UAT!$C$6:$C$149,B12)</x:f>
        <x:v>3</x:v>
      </x:c>
      <x:c r="P12" s="13" t="n">
        <x:f>COUNTIFS(UAT!$C$6:$C$149,B12,UAT!$P$6:$P$149,"Ready")</x:f>
        <x:v>0</x:v>
      </x:c>
      <x:c r="Q12" s="14" t="n">
        <x:f>IF(O12=0,0,P12/O12)</x:f>
        <x:v>0</x:v>
      </x:c>
      <x:c r="R12" s="13" t="str">
        <x:f>IF(O12=0,"Blocked: no tests",IF(P12&lt;O12,"Blocked: UAT",IF(AND(K12="Approved",LEN(L12)&gt;0,ISNUMBER(M12)),"Ready","Hold: approval")))</x:f>
        <x:v>Blocked: UAT</x:v>
      </x:c>
      <x:c r="S12" s="13" t="str">
        <x:f>IF(ISNUMBER(N12),IF(AND(N12&lt;Dashboard!$B$4,R12&lt;&gt;"Ready"),"Overdue","On track"),"No due date")</x:f>
        <x:v>No due date</x:v>
      </x:c>
    </x:row>
    <x:row r="13" ht="54" customHeight="1">
      <x:c r="A13" s="10" t="str">
        <x:v>MKT</x:v>
      </x:c>
      <x:c r="B13" s="10" t="str">
        <x:v>MKT-REQ-08</x:v>
      </x:c>
      <x:c r="C13" s="10" t="str">
        <x:v>Explain review actions</x:v>
      </x:c>
      <x:c r="D13" s="10" t="str">
        <x:v>Which seller/category combinations deserve an operational review, and which KPI definitions must be standardized before the next monthly business review?</x:v>
      </x:c>
      <x:c r="E13" s="10" t="str">
        <x:v>Should</x:v>
      </x:c>
      <x:c r="F13" s="10" t="str">
        <x:v>Marketplace Operations Manager</x:v>
      </x:c>
      <x:c r="G13" s="10" t="str">
        <x:v>Every recommendation identifies an owner, supporting result, uncertainty, and next validation step.</x:v>
      </x:c>
      <x:c r="H13" s="10" t="str">
        <x:v>MKT-US-08</x:v>
      </x:c>
      <x:c r="I13" s="10" t="str">
        <x:v>Analysis/Q03.csv</x:v>
      </x:c>
      <x:c r="J13" s="10" t="str">
        <x:v>Analysis prototype delivered</x:v>
      </x:c>
      <x:c r="K13" s="11" t="str">
        <x:v>Pending</x:v>
      </x:c>
      <x:c r="L13" s="11" t="str"/>
      <x:c r="M13" s="12" t="str"/>
      <x:c r="N13" s="12" t="str"/>
      <x:c r="O13" s="13" t="n">
        <x:f>COUNTIFS(UAT!$C$6:$C$149,B13)</x:f>
        <x:v>3</x:v>
      </x:c>
      <x:c r="P13" s="13" t="n">
        <x:f>COUNTIFS(UAT!$C$6:$C$149,B13,UAT!$P$6:$P$149,"Ready")</x:f>
        <x:v>0</x:v>
      </x:c>
      <x:c r="Q13" s="14" t="n">
        <x:f>IF(O13=0,0,P13/O13)</x:f>
        <x:v>0</x:v>
      </x:c>
      <x:c r="R13" s="13" t="str">
        <x:f>IF(O13=0,"Blocked: no tests",IF(P13&lt;O13,"Blocked: UAT",IF(AND(K13="Approved",LEN(L13)&gt;0,ISNUMBER(M13)),"Ready","Hold: approval")))</x:f>
        <x:v>Blocked: UAT</x:v>
      </x:c>
      <x:c r="S13" s="13" t="str">
        <x:f>IF(ISNUMBER(N13),IF(AND(N13&lt;Dashboard!$B$4,R13&lt;&gt;"Ready"),"Overdue","On track"),"No due date")</x:f>
        <x:v>No due date</x:v>
      </x:c>
    </x:row>
    <x:row r="14" ht="54" customHeight="1">
      <x:c r="A14" s="10" t="str">
        <x:v>ECOM</x:v>
      </x:c>
      <x:c r="B14" s="10" t="str">
        <x:v>ECOM-REQ-01</x:v>
      </x:c>
      <x:c r="C14" s="10" t="str">
        <x:v>Preserve anonymous observations</x:v>
      </x:c>
      <x:c r="D14" s="10" t="str">
        <x:v>Which funnel transition and device should be investigated first, and what new instrumentation is needed to test a proposed checkout change?</x:v>
      </x:c>
      <x:c r="E14" s="10" t="str">
        <x:v>Must</x:v>
      </x:c>
      <x:c r="F14" s="10" t="str">
        <x:v>Checkout Product Manager</x:v>
      </x:c>
      <x:c r="G14" s="10" t="str">
        <x:v>Row count equals the source count; repeated-row count is profiled and disclosed.</x:v>
      </x:c>
      <x:c r="H14" s="10" t="str">
        <x:v>ECOM-US-01</x:v>
      </x:c>
      <x:c r="I14" s="10" t="str">
        <x:v>Analysis/Q01.csv</x:v>
      </x:c>
      <x:c r="J14" s="10" t="str">
        <x:v>Analysis prototype delivered</x:v>
      </x:c>
      <x:c r="K14" s="11" t="str">
        <x:v>Pending</x:v>
      </x:c>
      <x:c r="L14" s="11" t="str"/>
      <x:c r="M14" s="12" t="str"/>
      <x:c r="N14" s="12" t="str"/>
      <x:c r="O14" s="13" t="n">
        <x:f>COUNTIFS(UAT!$C$6:$C$149,B14)</x:f>
        <x:v>3</x:v>
      </x:c>
      <x:c r="P14" s="13" t="n">
        <x:f>COUNTIFS(UAT!$C$6:$C$149,B14,UAT!$P$6:$P$149,"Ready")</x:f>
        <x:v>0</x:v>
      </x:c>
      <x:c r="Q14" s="14" t="n">
        <x:f>IF(O14=0,0,P14/O14)</x:f>
        <x:v>0</x:v>
      </x:c>
      <x:c r="R14" s="13" t="str">
        <x:f>IF(O14=0,"Blocked: no tests",IF(P14&lt;O14,"Blocked: UAT",IF(AND(K14="Approved",LEN(L14)&gt;0,ISNUMBER(M14)),"Ready","Hold: approval")))</x:f>
        <x:v>Blocked: UAT</x:v>
      </x:c>
      <x:c r="S14" s="13" t="str">
        <x:f>IF(ISNUMBER(N14),IF(AND(N14&lt;Dashboard!$B$4,R14&lt;&gt;"Ready"),"Overdue","On track"),"No due date")</x:f>
        <x:v>No due date</x:v>
      </x:c>
    </x:row>
    <x:row r="15" ht="54" customHeight="1">
      <x:c r="A15" s="10" t="str">
        <x:v>ECOM</x:v>
      </x:c>
      <x:c r="B15" s="10" t="str">
        <x:v>ECOM-REQ-02</x:v>
      </x:c>
      <x:c r="C15" s="10" t="str">
        <x:v>Define a monotonic funnel</x:v>
      </x:c>
      <x:c r="D15" s="10" t="str">
        <x:v>Which funnel transition and device should be investigated first, and what new instrumentation is needed to test a proposed checkout change?</x:v>
      </x:c>
      <x:c r="E15" s="10" t="str">
        <x:v>Must</x:v>
      </x:c>
      <x:c r="F15" s="10" t="str">
        <x:v>Checkout Product Manager</x:v>
      </x:c>
      <x:c r="G15" s="10" t="str">
        <x:v>Every violating observation is reported; the supplied file passes or is explicitly flagged.</x:v>
      </x:c>
      <x:c r="H15" s="10" t="str">
        <x:v>ECOM-US-02</x:v>
      </x:c>
      <x:c r="I15" s="10" t="str">
        <x:v>Analysis/Q01.csv</x:v>
      </x:c>
      <x:c r="J15" s="10" t="str">
        <x:v>Analysis prototype delivered</x:v>
      </x:c>
      <x:c r="K15" s="11" t="str">
        <x:v>Pending</x:v>
      </x:c>
      <x:c r="L15" s="11" t="str"/>
      <x:c r="M15" s="12" t="str"/>
      <x:c r="N15" s="12" t="str"/>
      <x:c r="O15" s="13" t="n">
        <x:f>COUNTIFS(UAT!$C$6:$C$149,B15)</x:f>
        <x:v>3</x:v>
      </x:c>
      <x:c r="P15" s="13" t="n">
        <x:f>COUNTIFS(UAT!$C$6:$C$149,B15,UAT!$P$6:$P$149,"Ready")</x:f>
        <x:v>0</x:v>
      </x:c>
      <x:c r="Q15" s="14" t="n">
        <x:f>IF(O15=0,0,P15/O15)</x:f>
        <x:v>0</x:v>
      </x:c>
      <x:c r="R15" s="13" t="str">
        <x:f>IF(O15=0,"Blocked: no tests",IF(P15&lt;O15,"Blocked: UAT",IF(AND(K15="Approved",LEN(L15)&gt;0,ISNUMBER(M15)),"Ready","Hold: approval")))</x:f>
        <x:v>Blocked: UAT</x:v>
      </x:c>
      <x:c r="S15" s="13" t="str">
        <x:f>IF(ISNUMBER(N15),IF(AND(N15&lt;Dashboard!$B$4,R15&lt;&gt;"Ready"),"Overdue","On track"),"No due date")</x:f>
        <x:v>No due date</x:v>
      </x:c>
    </x:row>
    <x:row r="16" ht="54" customHeight="1">
      <x:c r="A16" s="10" t="str">
        <x:v>ECOM</x:v>
      </x:c>
      <x:c r="B16" s="10" t="str">
        <x:v>ECOM-REQ-03</x:v>
      </x:c>
      <x:c r="C16" s="10" t="str">
        <x:v>Calculate funnel rates</x:v>
      </x:c>
      <x:c r="D16" s="10" t="str">
        <x:v>Which funnel transition and device should be investigated first, and what new instrumentation is needed to test a proposed checkout change?</x:v>
      </x:c>
      <x:c r="E16" s="10" t="str">
        <x:v>Must</x:v>
      </x:c>
      <x:c r="F16" s="10" t="str">
        <x:v>Checkout Product Manager</x:v>
      </x:c>
      <x:c r="G16" s="10" t="str">
        <x:v>Zero denominators return null; a weighted fixture matches independently calculated results.</x:v>
      </x:c>
      <x:c r="H16" s="10" t="str">
        <x:v>ECOM-US-03</x:v>
      </x:c>
      <x:c r="I16" s="10" t="str">
        <x:v>Analysis/Q02.csv</x:v>
      </x:c>
      <x:c r="J16" s="10" t="str">
        <x:v>Analysis prototype delivered</x:v>
      </x:c>
      <x:c r="K16" s="11" t="str">
        <x:v>Pending</x:v>
      </x:c>
      <x:c r="L16" s="11" t="str"/>
      <x:c r="M16" s="12" t="str"/>
      <x:c r="N16" s="12" t="str"/>
      <x:c r="O16" s="13" t="n">
        <x:f>COUNTIFS(UAT!$C$6:$C$149,B16)</x:f>
        <x:v>3</x:v>
      </x:c>
      <x:c r="P16" s="13" t="n">
        <x:f>COUNTIFS(UAT!$C$6:$C$149,B16,UAT!$P$6:$P$149,"Ready")</x:f>
        <x:v>0</x:v>
      </x:c>
      <x:c r="Q16" s="14" t="n">
        <x:f>IF(O16=0,0,P16/O16)</x:f>
        <x:v>0</x:v>
      </x:c>
      <x:c r="R16" s="13" t="str">
        <x:f>IF(O16=0,"Blocked: no tests",IF(P16&lt;O16,"Blocked: UAT",IF(AND(K16="Approved",LEN(L16)&gt;0,ISNUMBER(M16)),"Ready","Hold: approval")))</x:f>
        <x:v>Blocked: UAT</x:v>
      </x:c>
      <x:c r="S16" s="13" t="str">
        <x:f>IF(ISNUMBER(N16),IF(AND(N16&lt;Dashboard!$B$4,R16&lt;&gt;"Ready"),"Overdue","On track"),"No due date")</x:f>
        <x:v>No due date</x:v>
      </x:c>
    </x:row>
    <x:row r="17" ht="54" customHeight="1">
      <x:c r="A17" s="10" t="str">
        <x:v>ECOM</x:v>
      </x:c>
      <x:c r="B17" s="10" t="str">
        <x:v>ECOM-REQ-04</x:v>
      </x:c>
      <x:c r="C17" s="10" t="str">
        <x:v>Compare devices</x:v>
      </x:c>
      <x:c r="D17" s="10" t="str">
        <x:v>Which funnel transition and device should be investigated first, and what new instrumentation is needed to test a proposed checkout change?</x:v>
      </x:c>
      <x:c r="E17" s="10" t="str">
        <x:v>Must</x:v>
      </x:c>
      <x:c r="F17" s="10" t="str">
        <x:v>Checkout Product Manager</x:v>
      </x:c>
      <x:c r="G17" s="10" t="str">
        <x:v>Device stage counts reconcile to portfolio totals and comparisons use identical periods.</x:v>
      </x:c>
      <x:c r="H17" s="10" t="str">
        <x:v>ECOM-US-04</x:v>
      </x:c>
      <x:c r="I17" s="10" t="str">
        <x:v>Analysis/Q02.csv</x:v>
      </x:c>
      <x:c r="J17" s="10" t="str">
        <x:v>Analysis prototype delivered</x:v>
      </x:c>
      <x:c r="K17" s="11" t="str">
        <x:v>Pending</x:v>
      </x:c>
      <x:c r="L17" s="11" t="str"/>
      <x:c r="M17" s="12" t="str"/>
      <x:c r="N17" s="12" t="str"/>
      <x:c r="O17" s="13" t="n">
        <x:f>COUNTIFS(UAT!$C$6:$C$149,B17)</x:f>
        <x:v>3</x:v>
      </x:c>
      <x:c r="P17" s="13" t="n">
        <x:f>COUNTIFS(UAT!$C$6:$C$149,B17,UAT!$P$6:$P$149,"Ready")</x:f>
        <x:v>0</x:v>
      </x:c>
      <x:c r="Q17" s="14" t="n">
        <x:f>IF(O17=0,0,P17/O17)</x:f>
        <x:v>0</x:v>
      </x:c>
      <x:c r="R17" s="13" t="str">
        <x:f>IF(O17=0,"Blocked: no tests",IF(P17&lt;O17,"Blocked: UAT",IF(AND(K17="Approved",LEN(L17)&gt;0,ISNUMBER(M17)),"Ready","Hold: approval")))</x:f>
        <x:v>Blocked: UAT</x:v>
      </x:c>
      <x:c r="S17" s="13" t="str">
        <x:f>IF(ISNUMBER(N17),IF(AND(N17&lt;Dashboard!$B$4,R17&lt;&gt;"Ready"),"Overdue","On track"),"No due date")</x:f>
        <x:v>No due date</x:v>
      </x:c>
    </x:row>
    <x:row r="18" ht="54" customHeight="1">
      <x:c r="A18" s="10" t="str">
        <x:v>ECOM</x:v>
      </x:c>
      <x:c r="B18" s="10" t="str">
        <x:v>ECOM-REQ-05</x:v>
      </x:c>
      <x:c r="C18" s="10" t="str">
        <x:v>Inspect acquisition mix</x:v>
      </x:c>
      <x:c r="D18" s="10" t="str">
        <x:v>Which funnel transition and device should be investigated first, and what new instrumentation is needed to test a proposed checkout change?</x:v>
      </x:c>
      <x:c r="E18" s="10" t="str">
        <x:v>Should</x:v>
      </x:c>
      <x:c r="F18" s="10" t="str">
        <x:v>Checkout Product Manager</x:v>
      </x:c>
      <x:c r="G18" s="10" t="str">
        <x:v>Channel revenue sums to total; low sample counts are visible.</x:v>
      </x:c>
      <x:c r="H18" s="10" t="str">
        <x:v>ECOM-US-05</x:v>
      </x:c>
      <x:c r="I18" s="10" t="str">
        <x:v>Analysis/Q03.csv</x:v>
      </x:c>
      <x:c r="J18" s="10" t="str">
        <x:v>Analysis prototype delivered</x:v>
      </x:c>
      <x:c r="K18" s="11" t="str">
        <x:v>Pending</x:v>
      </x:c>
      <x:c r="L18" s="11" t="str"/>
      <x:c r="M18" s="12" t="str"/>
      <x:c r="N18" s="12" t="str"/>
      <x:c r="O18" s="13" t="n">
        <x:f>COUNTIFS(UAT!$C$6:$C$149,B18)</x:f>
        <x:v>3</x:v>
      </x:c>
      <x:c r="P18" s="13" t="n">
        <x:f>COUNTIFS(UAT!$C$6:$C$149,B18,UAT!$P$6:$P$149,"Ready")</x:f>
        <x:v>0</x:v>
      </x:c>
      <x:c r="Q18" s="14" t="n">
        <x:f>IF(O18=0,0,P18/O18)</x:f>
        <x:v>0</x:v>
      </x:c>
      <x:c r="R18" s="13" t="str">
        <x:f>IF(O18=0,"Blocked: no tests",IF(P18&lt;O18,"Blocked: UAT",IF(AND(K18="Approved",LEN(L18)&gt;0,ISNUMBER(M18)),"Ready","Hold: approval")))</x:f>
        <x:v>Blocked: UAT</x:v>
      </x:c>
      <x:c r="S18" s="13" t="str">
        <x:f>IF(ISNUMBER(N18),IF(AND(N18&lt;Dashboard!$B$4,R18&lt;&gt;"Ready"),"Overdue","On track"),"No due date")</x:f>
        <x:v>No due date</x:v>
      </x:c>
    </x:row>
    <x:row r="19" ht="54" customHeight="1">
      <x:c r="A19" s="10" t="str">
        <x:v>ECOM</x:v>
      </x:c>
      <x:c r="B19" s="10" t="str">
        <x:v>ECOM-REQ-06</x:v>
      </x:c>
      <x:c r="C19" s="10" t="str">
        <x:v>Track monthly conversion</x:v>
      </x:c>
      <x:c r="D19" s="10" t="str">
        <x:v>Which funnel transition and device should be investigated first, and what new instrumentation is needed to test a proposed checkout change?</x:v>
      </x:c>
      <x:c r="E19" s="10" t="str">
        <x:v>Should</x:v>
      </x:c>
      <x:c r="F19" s="10" t="str">
        <x:v>Checkout Product Manager</x:v>
      </x:c>
      <x:c r="G19" s="10" t="str">
        <x:v>The first month has null prior-month change and no missing month is silently treated as zero.</x:v>
      </x:c>
      <x:c r="H19" s="10" t="str">
        <x:v>ECOM-US-06</x:v>
      </x:c>
      <x:c r="I19" s="10" t="str">
        <x:v>Analysis/Q04.csv</x:v>
      </x:c>
      <x:c r="J19" s="10" t="str">
        <x:v>Analysis prototype delivered</x:v>
      </x:c>
      <x:c r="K19" s="11" t="str">
        <x:v>Pending</x:v>
      </x:c>
      <x:c r="L19" s="11" t="str"/>
      <x:c r="M19" s="12" t="str"/>
      <x:c r="N19" s="12" t="str"/>
      <x:c r="O19" s="13" t="n">
        <x:f>COUNTIFS(UAT!$C$6:$C$149,B19)</x:f>
        <x:v>3</x:v>
      </x:c>
      <x:c r="P19" s="13" t="n">
        <x:f>COUNTIFS(UAT!$C$6:$C$149,B19,UAT!$P$6:$P$149,"Ready")</x:f>
        <x:v>0</x:v>
      </x:c>
      <x:c r="Q19" s="14" t="n">
        <x:f>IF(O19=0,0,P19/O19)</x:f>
        <x:v>0</x:v>
      </x:c>
      <x:c r="R19" s="13" t="str">
        <x:f>IF(O19=0,"Blocked: no tests",IF(P19&lt;O19,"Blocked: UAT",IF(AND(K19="Approved",LEN(L19)&gt;0,ISNUMBER(M19)),"Ready","Hold: approval")))</x:f>
        <x:v>Blocked: UAT</x:v>
      </x:c>
      <x:c r="S19" s="13" t="str">
        <x:f>IF(ISNUMBER(N19),IF(AND(N19&lt;Dashboard!$B$4,R19&lt;&gt;"Ready"),"Overdue","On track"),"No due date")</x:f>
        <x:v>No due date</x:v>
      </x:c>
    </x:row>
    <x:row r="20" ht="54" customHeight="1">
      <x:c r="A20" s="10" t="str">
        <x:v>ECOM</x:v>
      </x:c>
      <x:c r="B20" s="10" t="str">
        <x:v>ECOM-REQ-07</x:v>
      </x:c>
      <x:c r="C20" s="10" t="str">
        <x:v>Specify an experiment</x:v>
      </x:c>
      <x:c r="D20" s="10" t="str">
        <x:v>Which funnel transition and device should be investigated first, and what new instrumentation is needed to test a proposed checkout change?</x:v>
      </x:c>
      <x:c r="E20" s="10" t="str">
        <x:v>Should</x:v>
      </x:c>
      <x:c r="F20" s="10" t="str">
        <x:v>Checkout Product Manager</x:v>
      </x:c>
      <x:c r="G20" s="10" t="str">
        <x:v>No claim of experiment success is made without assignment/exposure events; launch remains pending.</x:v>
      </x:c>
      <x:c r="H20" s="10" t="str">
        <x:v>ECOM-US-07</x:v>
      </x:c>
      <x:c r="I20" s="10" t="str">
        <x:v>Docs/07_BI_and_System_Design.md</x:v>
      </x:c>
      <x:c r="J20" s="10" t="str">
        <x:v>Design specified; implementation pending</x:v>
      </x:c>
      <x:c r="K20" s="11" t="str">
        <x:v>Pending</x:v>
      </x:c>
      <x:c r="L20" s="11" t="str"/>
      <x:c r="M20" s="12" t="str"/>
      <x:c r="N20" s="12" t="str"/>
      <x:c r="O20" s="13" t="n">
        <x:f>COUNTIFS(UAT!$C$6:$C$149,B20)</x:f>
        <x:v>3</x:v>
      </x:c>
      <x:c r="P20" s="13" t="n">
        <x:f>COUNTIFS(UAT!$C$6:$C$149,B20,UAT!$P$6:$P$149,"Ready")</x:f>
        <x:v>0</x:v>
      </x:c>
      <x:c r="Q20" s="14" t="n">
        <x:f>IF(O20=0,0,P20/O20)</x:f>
        <x:v>0</x:v>
      </x:c>
      <x:c r="R20" s="13" t="str">
        <x:f>IF(O20=0,"Blocked: no tests",IF(P20&lt;O20,"Blocked: UAT",IF(AND(K20="Approved",LEN(L20)&gt;0,ISNUMBER(M20)),"Ready","Hold: approval")))</x:f>
        <x:v>Blocked: UAT</x:v>
      </x:c>
      <x:c r="S20" s="13" t="str">
        <x:f>IF(ISNUMBER(N20),IF(AND(N20&lt;Dashboard!$B$4,R20&lt;&gt;"Ready"),"Overdue","On track"),"No due date")</x:f>
        <x:v>No due date</x:v>
      </x:c>
    </x:row>
    <x:row r="21" ht="54" customHeight="1">
      <x:c r="A21" s="10" t="str">
        <x:v>ECOM</x:v>
      </x:c>
      <x:c r="B21" s="10" t="str">
        <x:v>ECOM-REQ-08</x:v>
      </x:c>
      <x:c r="C21" s="10" t="str">
        <x:v>Protect customer data</x:v>
      </x:c>
      <x:c r="D21" s="10" t="str">
        <x:v>Which funnel transition and device should be investigated first, and what new instrumentation is needed to test a proposed checkout change?</x:v>
      </x:c>
      <x:c r="E21" s="10" t="str">
        <x:v>Must</x:v>
      </x:c>
      <x:c r="F21" s="10" t="str">
        <x:v>Checkout Product Manager</x:v>
      </x:c>
      <x:c r="G21" s="10" t="str">
        <x:v>Future design excludes raw contact data from analyst exports and requires a privacy review.</x:v>
      </x:c>
      <x:c r="H21" s="10" t="str">
        <x:v>ECOM-US-08</x:v>
      </x:c>
      <x:c r="I21" s="10" t="str">
        <x:v>Docs/07_BI_and_System_Design.md</x:v>
      </x:c>
      <x:c r="J21" s="10" t="str">
        <x:v>Design specified; implementation pending</x:v>
      </x:c>
      <x:c r="K21" s="11" t="str">
        <x:v>Pending</x:v>
      </x:c>
      <x:c r="L21" s="11" t="str"/>
      <x:c r="M21" s="12" t="str"/>
      <x:c r="N21" s="12" t="str"/>
      <x:c r="O21" s="13" t="n">
        <x:f>COUNTIFS(UAT!$C$6:$C$149,B21)</x:f>
        <x:v>3</x:v>
      </x:c>
      <x:c r="P21" s="13" t="n">
        <x:f>COUNTIFS(UAT!$C$6:$C$149,B21,UAT!$P$6:$P$149,"Ready")</x:f>
        <x:v>0</x:v>
      </x:c>
      <x:c r="Q21" s="14" t="n">
        <x:f>IF(O21=0,0,P21/O21)</x:f>
        <x:v>0</x:v>
      </x:c>
      <x:c r="R21" s="13" t="str">
        <x:f>IF(O21=0,"Blocked: no tests",IF(P21&lt;O21,"Blocked: UAT",IF(AND(K21="Approved",LEN(L21)&gt;0,ISNUMBER(M21)),"Ready","Hold: approval")))</x:f>
        <x:v>Blocked: UAT</x:v>
      </x:c>
      <x:c r="S21" s="13" t="str">
        <x:f>IF(ISNUMBER(N21),IF(AND(N21&lt;Dashboard!$B$4,R21&lt;&gt;"Ready"),"Overdue","On track"),"No due date")</x:f>
        <x:v>No due date</x:v>
      </x:c>
    </x:row>
    <x:row r="22" ht="54" customHeight="1">
      <x:c r="A22" s="10" t="str">
        <x:v>FIN</x:v>
      </x:c>
      <x:c r="B22" s="10" t="str">
        <x:v>FIN-REQ-01</x:v>
      </x:c>
      <x:c r="C22" s="10" t="str">
        <x:v>Validate finance dimensions</x:v>
      </x:c>
      <x:c r="D22" s="10" t="str">
        <x:v>Can the account fact table support a reliable variance pack, and can its totals be reconciled to the separate dashboard extract?</x:v>
      </x:c>
      <x:c r="E22" s="10" t="str">
        <x:v>Must</x:v>
      </x:c>
      <x:c r="F22" s="10" t="str">
        <x:v>FP&amp;A Manager</x:v>
      </x:c>
      <x:c r="G22" s="10" t="str">
        <x:v>All accepted rows have allowed scenario/category values and traceable source_row.</x:v>
      </x:c>
      <x:c r="H22" s="10" t="str">
        <x:v>FIN-US-01</x:v>
      </x:c>
      <x:c r="I22" s="10" t="str">
        <x:v>Analysis/Q01.csv</x:v>
      </x:c>
      <x:c r="J22" s="10" t="str">
        <x:v>Analysis prototype delivered</x:v>
      </x:c>
      <x:c r="K22" s="11" t="str">
        <x:v>Pending</x:v>
      </x:c>
      <x:c r="L22" s="11" t="str"/>
      <x:c r="M22" s="12" t="str"/>
      <x:c r="N22" s="12" t="str"/>
      <x:c r="O22" s="13" t="n">
        <x:f>COUNTIFS(UAT!$C$6:$C$149,B22)</x:f>
        <x:v>3</x:v>
      </x:c>
      <x:c r="P22" s="13" t="n">
        <x:f>COUNTIFS(UAT!$C$6:$C$149,B22,UAT!$P$6:$P$149,"Ready")</x:f>
        <x:v>0</x:v>
      </x:c>
      <x:c r="Q22" s="14" t="n">
        <x:f>IF(O22=0,0,P22/O22)</x:f>
        <x:v>0</x:v>
      </x:c>
      <x:c r="R22" s="13" t="str">
        <x:f>IF(O22=0,"Blocked: no tests",IF(P22&lt;O22,"Blocked: UAT",IF(AND(K22="Approved",LEN(L22)&gt;0,ISNUMBER(M22)),"Ready","Hold: approval")))</x:f>
        <x:v>Blocked: UAT</x:v>
      </x:c>
      <x:c r="S22" s="13" t="str">
        <x:f>IF(ISNUMBER(N22),IF(AND(N22&lt;Dashboard!$B$4,R22&lt;&gt;"Ready"),"Overdue","On track"),"No due date")</x:f>
        <x:v>No due date</x:v>
      </x:c>
    </x:row>
    <x:row r="23" ht="54" customHeight="1">
      <x:c r="A23" s="10" t="str">
        <x:v>FIN</x:v>
      </x:c>
      <x:c r="B23" s="10" t="str">
        <x:v>FIN-REQ-02</x:v>
      </x:c>
      <x:c r="C23" s="10" t="str">
        <x:v>Create actual/budget revenue bridge</x:v>
      </x:c>
      <x:c r="D23" s="10" t="str">
        <x:v>Can the account fact table support a reliable variance pack, and can its totals be reconciled to the separate dashboard extract?</x:v>
      </x:c>
      <x:c r="E23" s="10" t="str">
        <x:v>Must</x:v>
      </x:c>
      <x:c r="F23" s="10" t="str">
        <x:v>FP&amp;A Manager</x:v>
      </x:c>
      <x:c r="G23" s="10" t="str">
        <x:v>Actual and budget reconcile separately; zero budget returns null rate.</x:v>
      </x:c>
      <x:c r="H23" s="10" t="str">
        <x:v>FIN-US-02</x:v>
      </x:c>
      <x:c r="I23" s="10" t="str">
        <x:v>Analysis/Q02.csv</x:v>
      </x:c>
      <x:c r="J23" s="10" t="str">
        <x:v>Analysis prototype delivered</x:v>
      </x:c>
      <x:c r="K23" s="11" t="str">
        <x:v>Pending</x:v>
      </x:c>
      <x:c r="L23" s="11" t="str"/>
      <x:c r="M23" s="12" t="str"/>
      <x:c r="N23" s="12" t="str"/>
      <x:c r="O23" s="13" t="n">
        <x:f>COUNTIFS(UAT!$C$6:$C$149,B23)</x:f>
        <x:v>3</x:v>
      </x:c>
      <x:c r="P23" s="13" t="n">
        <x:f>COUNTIFS(UAT!$C$6:$C$149,B23,UAT!$P$6:$P$149,"Ready")</x:f>
        <x:v>0</x:v>
      </x:c>
      <x:c r="Q23" s="14" t="n">
        <x:f>IF(O23=0,0,P23/O23)</x:f>
        <x:v>0</x:v>
      </x:c>
      <x:c r="R23" s="13" t="str">
        <x:f>IF(O23=0,"Blocked: no tests",IF(P23&lt;O23,"Blocked: UAT",IF(AND(K23="Approved",LEN(L23)&gt;0,ISNUMBER(M23)),"Ready","Hold: approval")))</x:f>
        <x:v>Blocked: UAT</x:v>
      </x:c>
      <x:c r="S23" s="13" t="str">
        <x:f>IF(ISNUMBER(N23),IF(AND(N23&lt;Dashboard!$B$4,R23&lt;&gt;"Ready"),"Overdue","On track"),"No due date")</x:f>
        <x:v>No due date</x:v>
      </x:c>
    </x:row>
    <x:row r="24" ht="54" customHeight="1">
      <x:c r="A24" s="10" t="str">
        <x:v>FIN</x:v>
      </x:c>
      <x:c r="B24" s="10" t="str">
        <x:v>FIN-REQ-03</x:v>
      </x:c>
      <x:c r="C24" s="10" t="str">
        <x:v>Calculate operating income</x:v>
      </x:c>
      <x:c r="D24" s="10" t="str">
        <x:v>Can the account fact table support a reliable variance pack, and can its totals be reconciled to the separate dashboard extract?</x:v>
      </x:c>
      <x:c r="E24" s="10" t="str">
        <x:v>Must</x:v>
      </x:c>
      <x:c r="F24" s="10" t="str">
        <x:v>FP&amp;A Manager</x:v>
      </x:c>
      <x:c r="G24" s="10" t="str">
        <x:v>A fixed fixture produces the expected operating income and weighted gross margin.</x:v>
      </x:c>
      <x:c r="H24" s="10" t="str">
        <x:v>FIN-US-03</x:v>
      </x:c>
      <x:c r="I24" s="10" t="str">
        <x:v>Analysis/Q02.csv</x:v>
      </x:c>
      <x:c r="J24" s="10" t="str">
        <x:v>Analysis prototype delivered</x:v>
      </x:c>
      <x:c r="K24" s="11" t="str">
        <x:v>Pending</x:v>
      </x:c>
      <x:c r="L24" s="11" t="str"/>
      <x:c r="M24" s="12" t="str"/>
      <x:c r="N24" s="12" t="str"/>
      <x:c r="O24" s="13" t="n">
        <x:f>COUNTIFS(UAT!$C$6:$C$149,B24)</x:f>
        <x:v>3</x:v>
      </x:c>
      <x:c r="P24" s="13" t="n">
        <x:f>COUNTIFS(UAT!$C$6:$C$149,B24,UAT!$P$6:$P$149,"Ready")</x:f>
        <x:v>0</x:v>
      </x:c>
      <x:c r="Q24" s="14" t="n">
        <x:f>IF(O24=0,0,P24/O24)</x:f>
        <x:v>0</x:v>
      </x:c>
      <x:c r="R24" s="13" t="str">
        <x:f>IF(O24=0,"Blocked: no tests",IF(P24&lt;O24,"Blocked: UAT",IF(AND(K24="Approved",LEN(L24)&gt;0,ISNUMBER(M24)),"Ready","Hold: approval")))</x:f>
        <x:v>Blocked: UAT</x:v>
      </x:c>
      <x:c r="S24" s="13" t="str">
        <x:f>IF(ISNUMBER(N24),IF(AND(N24&lt;Dashboard!$B$4,R24&lt;&gt;"Ready"),"Overdue","On track"),"No due date")</x:f>
        <x:v>No due date</x:v>
      </x:c>
    </x:row>
    <x:row r="25" ht="54" customHeight="1">
      <x:c r="A25" s="10" t="str">
        <x:v>FIN</x:v>
      </x:c>
      <x:c r="B25" s="10" t="str">
        <x:v>FIN-REQ-04</x:v>
      </x:c>
      <x:c r="C25" s="10" t="str">
        <x:v>Explain department contribution</x:v>
      </x:c>
      <x:c r="D25" s="10" t="str">
        <x:v>Can the account fact table support a reliable variance pack, and can its totals be reconciled to the separate dashboard extract?</x:v>
      </x:c>
      <x:c r="E25" s="10" t="str">
        <x:v>Must</x:v>
      </x:c>
      <x:c r="F25" s="10" t="str">
        <x:v>FP&amp;A Manager</x:v>
      </x:c>
      <x:c r="G25" s="10" t="str">
        <x:v>Department variances sum to the overall variance; no percentage averages are used.</x:v>
      </x:c>
      <x:c r="H25" s="10" t="str">
        <x:v>FIN-US-04</x:v>
      </x:c>
      <x:c r="I25" s="10" t="str">
        <x:v>Analysis/Q03.csv</x:v>
      </x:c>
      <x:c r="J25" s="10" t="str">
        <x:v>Analysis prototype delivered</x:v>
      </x:c>
      <x:c r="K25" s="11" t="str">
        <x:v>Pending</x:v>
      </x:c>
      <x:c r="L25" s="11" t="str"/>
      <x:c r="M25" s="12" t="str"/>
      <x:c r="N25" s="12" t="str"/>
      <x:c r="O25" s="13" t="n">
        <x:f>COUNTIFS(UAT!$C$6:$C$149,B25)</x:f>
        <x:v>3</x:v>
      </x:c>
      <x:c r="P25" s="13" t="n">
        <x:f>COUNTIFS(UAT!$C$6:$C$149,B25,UAT!$P$6:$P$149,"Ready")</x:f>
        <x:v>0</x:v>
      </x:c>
      <x:c r="Q25" s="14" t="n">
        <x:f>IF(O25=0,0,P25/O25)</x:f>
        <x:v>0</x:v>
      </x:c>
      <x:c r="R25" s="13" t="str">
        <x:f>IF(O25=0,"Blocked: no tests",IF(P25&lt;O25,"Blocked: UAT",IF(AND(K25="Approved",LEN(L25)&gt;0,ISNUMBER(M25)),"Ready","Hold: approval")))</x:f>
        <x:v>Blocked: UAT</x:v>
      </x:c>
      <x:c r="S25" s="13" t="str">
        <x:f>IF(ISNUMBER(N25),IF(AND(N25&lt;Dashboard!$B$4,R25&lt;&gt;"Ready"),"Overdue","On track"),"No due date")</x:f>
        <x:v>No due date</x:v>
      </x:c>
    </x:row>
    <x:row r="26" ht="54" customHeight="1">
      <x:c r="A26" s="10" t="str">
        <x:v>FIN</x:v>
      </x:c>
      <x:c r="B26" s="10" t="str">
        <x:v>FIN-REQ-05</x:v>
      </x:c>
      <x:c r="C26" s="10" t="str">
        <x:v>Reconcile the dashboard extract</x:v>
      </x:c>
      <x:c r="D26" s="10" t="str">
        <x:v>Can the account fact table support a reliable variance pack, and can its totals be reconciled to the separate dashboard extract?</x:v>
      </x:c>
      <x:c r="E26" s="10" t="str">
        <x:v>Must</x:v>
      </x:c>
      <x:c r="F26" s="10" t="str">
        <x:v>FP&amp;A Manager</x:v>
      </x:c>
      <x:c r="G26" s="10" t="str">
        <x:v>Every difference above $0.01 is listed; unresolved differences block close approval.</x:v>
      </x:c>
      <x:c r="H26" s="10" t="str">
        <x:v>FIN-US-05</x:v>
      </x:c>
      <x:c r="I26" s="10" t="str">
        <x:v>Analysis/Q04.csv</x:v>
      </x:c>
      <x:c r="J26" s="10" t="str">
        <x:v>Analysis prototype delivered</x:v>
      </x:c>
      <x:c r="K26" s="11" t="str">
        <x:v>Pending</x:v>
      </x:c>
      <x:c r="L26" s="11" t="str"/>
      <x:c r="M26" s="12" t="str"/>
      <x:c r="N26" s="12" t="str"/>
      <x:c r="O26" s="13" t="n">
        <x:f>COUNTIFS(UAT!$C$6:$C$149,B26)</x:f>
        <x:v>3</x:v>
      </x:c>
      <x:c r="P26" s="13" t="n">
        <x:f>COUNTIFS(UAT!$C$6:$C$149,B26,UAT!$P$6:$P$149,"Ready")</x:f>
        <x:v>0</x:v>
      </x:c>
      <x:c r="Q26" s="14" t="n">
        <x:f>IF(O26=0,0,P26/O26)</x:f>
        <x:v>0</x:v>
      </x:c>
      <x:c r="R26" s="13" t="str">
        <x:f>IF(O26=0,"Blocked: no tests",IF(P26&lt;O26,"Blocked: UAT",IF(AND(K26="Approved",LEN(L26)&gt;0,ISNUMBER(M26)),"Ready","Hold: approval")))</x:f>
        <x:v>Blocked: UAT</x:v>
      </x:c>
      <x:c r="S26" s="13" t="str">
        <x:f>IF(ISNUMBER(N26),IF(AND(N26&lt;Dashboard!$B$4,R26&lt;&gt;"Ready"),"Overdue","On track"),"No due date")</x:f>
        <x:v>No due date</x:v>
      </x:c>
    </x:row>
    <x:row r="27" ht="54" customHeight="1">
      <x:c r="A27" s="10" t="str">
        <x:v>FIN</x:v>
      </x:c>
      <x:c r="B27" s="10" t="str">
        <x:v>FIN-REQ-06</x:v>
      </x:c>
      <x:c r="C27" s="10" t="str">
        <x:v>Preserve a close version</x:v>
      </x:c>
      <x:c r="D27" s="10" t="str">
        <x:v>Can the account fact table support a reliable variance pack, and can its totals be reconciled to the separate dashboard extract?</x:v>
      </x:c>
      <x:c r="E27" s="10" t="str">
        <x:v>Must</x:v>
      </x:c>
      <x:c r="F27" s="10" t="str">
        <x:v>FP&amp;A Manager</x:v>
      </x:c>
      <x:c r="G27" s="10" t="str">
        <x:v>A rebuilt run produces identical totals for identical input hashes.</x:v>
      </x:c>
      <x:c r="H27" s="10" t="str">
        <x:v>FIN-US-06</x:v>
      </x:c>
      <x:c r="I27" s="10" t="str">
        <x:v>Analysis/Q01.csv</x:v>
      </x:c>
      <x:c r="J27" s="10" t="str">
        <x:v>Analysis prototype delivered</x:v>
      </x:c>
      <x:c r="K27" s="11" t="str">
        <x:v>Pending</x:v>
      </x:c>
      <x:c r="L27" s="11" t="str"/>
      <x:c r="M27" s="12" t="str"/>
      <x:c r="N27" s="12" t="str"/>
      <x:c r="O27" s="13" t="n">
        <x:f>COUNTIFS(UAT!$C$6:$C$149,B27)</x:f>
        <x:v>3</x:v>
      </x:c>
      <x:c r="P27" s="13" t="n">
        <x:f>COUNTIFS(UAT!$C$6:$C$149,B27,UAT!$P$6:$P$149,"Ready")</x:f>
        <x:v>0</x:v>
      </x:c>
      <x:c r="Q27" s="14" t="n">
        <x:f>IF(O27=0,0,P27/O27)</x:f>
        <x:v>0</x:v>
      </x:c>
      <x:c r="R27" s="13" t="str">
        <x:f>IF(O27=0,"Blocked: no tests",IF(P27&lt;O27,"Blocked: UAT",IF(AND(K27="Approved",LEN(L27)&gt;0,ISNUMBER(M27)),"Ready","Hold: approval")))</x:f>
        <x:v>Blocked: UAT</x:v>
      </x:c>
      <x:c r="S27" s="13" t="str">
        <x:f>IF(ISNUMBER(N27),IF(AND(N27&lt;Dashboard!$B$4,R27&lt;&gt;"Ready"),"Overdue","On track"),"No due date")</x:f>
        <x:v>No due date</x:v>
      </x:c>
    </x:row>
    <x:row r="28" ht="54" customHeight="1">
      <x:c r="A28" s="10" t="str">
        <x:v>FIN</x:v>
      </x:c>
      <x:c r="B28" s="10" t="str">
        <x:v>FIN-REQ-07</x:v>
      </x:c>
      <x:c r="C28" s="10" t="str">
        <x:v>Design approval workflow</x:v>
      </x:c>
      <x:c r="D28" s="10" t="str">
        <x:v>Can the account fact table support a reliable variance pack, and can its totals be reconciled to the separate dashboard extract?</x:v>
      </x:c>
      <x:c r="E28" s="10" t="str">
        <x:v>Must</x:v>
      </x:c>
      <x:c r="F28" s="10" t="str">
        <x:v>FP&amp;A Manager</x:v>
      </x:c>
      <x:c r="G28" s="10" t="str">
        <x:v>A rejected reconciliation remains unresolved and cannot be marked approved by the preparer alone.</x:v>
      </x:c>
      <x:c r="H28" s="10" t="str">
        <x:v>FIN-US-07</x:v>
      </x:c>
      <x:c r="I28" s="10" t="str">
        <x:v>Docs/07_BI_and_System_Design.md</x:v>
      </x:c>
      <x:c r="J28" s="10" t="str">
        <x:v>Design specified; implementation pending</x:v>
      </x:c>
      <x:c r="K28" s="11" t="str">
        <x:v>Pending</x:v>
      </x:c>
      <x:c r="L28" s="11" t="str"/>
      <x:c r="M28" s="12" t="str"/>
      <x:c r="N28" s="12" t="str"/>
      <x:c r="O28" s="13" t="n">
        <x:f>COUNTIFS(UAT!$C$6:$C$149,B28)</x:f>
        <x:v>3</x:v>
      </x:c>
      <x:c r="P28" s="13" t="n">
        <x:f>COUNTIFS(UAT!$C$6:$C$149,B28,UAT!$P$6:$P$149,"Ready")</x:f>
        <x:v>0</x:v>
      </x:c>
      <x:c r="Q28" s="14" t="n">
        <x:f>IF(O28=0,0,P28/O28)</x:f>
        <x:v>0</x:v>
      </x:c>
      <x:c r="R28" s="13" t="str">
        <x:f>IF(O28=0,"Blocked: no tests",IF(P28&lt;O28,"Blocked: UAT",IF(AND(K28="Approved",LEN(L28)&gt;0,ISNUMBER(M28)),"Ready","Hold: approval")))</x:f>
        <x:v>Blocked: UAT</x:v>
      </x:c>
      <x:c r="S28" s="13" t="str">
        <x:f>IF(ISNUMBER(N28),IF(AND(N28&lt;Dashboard!$B$4,R28&lt;&gt;"Ready"),"Overdue","On track"),"No due date")</x:f>
        <x:v>No due date</x:v>
      </x:c>
    </x:row>
    <x:row r="29" ht="54" customHeight="1">
      <x:c r="A29" s="10" t="str">
        <x:v>FIN</x:v>
      </x:c>
      <x:c r="B29" s="10" t="str">
        <x:v>FIN-REQ-08</x:v>
      </x:c>
      <x:c r="C29" s="10" t="str">
        <x:v>Document forecast limits</x:v>
      </x:c>
      <x:c r="D29" s="10" t="str">
        <x:v>Can the account fact table support a reliable variance pack, and can its totals be reconciled to the separate dashboard extract?</x:v>
      </x:c>
      <x:c r="E29" s="10" t="str">
        <x:v>Should</x:v>
      </x:c>
      <x:c r="F29" s="10" t="str">
        <x:v>FP&amp;A Manager</x:v>
      </x:c>
      <x:c r="G29" s="10" t="str">
        <x:v>No forecast accuracy uplift is claimed without actual/forecast history and a defined error measure.</x:v>
      </x:c>
      <x:c r="H29" s="10" t="str">
        <x:v>FIN-US-08</x:v>
      </x:c>
      <x:c r="I29" s="10" t="str">
        <x:v>Analysis/Q03.csv</x:v>
      </x:c>
      <x:c r="J29" s="10" t="str">
        <x:v>Analysis prototype delivered</x:v>
      </x:c>
      <x:c r="K29" s="11" t="str">
        <x:v>Pending</x:v>
      </x:c>
      <x:c r="L29" s="11" t="str"/>
      <x:c r="M29" s="12" t="str"/>
      <x:c r="N29" s="12" t="str"/>
      <x:c r="O29" s="13" t="n">
        <x:f>COUNTIFS(UAT!$C$6:$C$149,B29)</x:f>
        <x:v>3</x:v>
      </x:c>
      <x:c r="P29" s="13" t="n">
        <x:f>COUNTIFS(UAT!$C$6:$C$149,B29,UAT!$P$6:$P$149,"Ready")</x:f>
        <x:v>0</x:v>
      </x:c>
      <x:c r="Q29" s="14" t="n">
        <x:f>IF(O29=0,0,P29/O29)</x:f>
        <x:v>0</x:v>
      </x:c>
      <x:c r="R29" s="13" t="str">
        <x:f>IF(O29=0,"Blocked: no tests",IF(P29&lt;O29,"Blocked: UAT",IF(AND(K29="Approved",LEN(L29)&gt;0,ISNUMBER(M29)),"Ready","Hold: approval")))</x:f>
        <x:v>Blocked: UAT</x:v>
      </x:c>
      <x:c r="S29" s="13" t="str">
        <x:f>IF(ISNUMBER(N29),IF(AND(N29&lt;Dashboard!$B$4,R29&lt;&gt;"Ready"),"Overdue","On track"),"No due date")</x:f>
        <x:v>No due date</x:v>
      </x:c>
    </x:row>
    <x:row r="30" ht="40" customHeight="1">
      <x:c r="A30" s="10" t="str">
        <x:v>ADS</x:v>
      </x:c>
      <x:c r="B30" s="10" t="str">
        <x:v>ADS-REQ-01</x:v>
      </x:c>
      <x:c r="C30" s="10" t="str">
        <x:v>Load additive ad records</x:v>
      </x:c>
      <x:c r="D30" s="10" t="str">
        <x:v>Which ad groups should be reviewed for a controlled budget test, and what cost/attribution gaps prevent a full ROI claim?</x:v>
      </x:c>
      <x:c r="E30" s="10" t="str">
        <x:v>Must</x:v>
      </x:c>
      <x:c r="F30" s="10" t="str">
        <x:v>Marketing Operations Manager</x:v>
      </x:c>
      <x:c r="G30" s="10" t="str">
        <x:v>Revenue and cost control totals reconcile independently to the CSV.</x:v>
      </x:c>
      <x:c r="H30" s="10" t="str">
        <x:v>ADS-US-01</x:v>
      </x:c>
      <x:c r="I30" s="10" t="str">
        <x:v>Analysis/Q01.csv</x:v>
      </x:c>
      <x:c r="J30" s="10" t="str">
        <x:v>Analysis prototype delivered</x:v>
      </x:c>
      <x:c r="K30" s="11" t="str">
        <x:v>Pending</x:v>
      </x:c>
      <x:c r="L30" s="11" t="str"/>
      <x:c r="M30" s="12" t="str"/>
      <x:c r="N30" s="12" t="str"/>
      <x:c r="O30" s="13" t="n">
        <x:f>COUNTIFS(UAT!$C$6:$C$149,B30)</x:f>
        <x:v>3</x:v>
      </x:c>
      <x:c r="P30" s="13" t="n">
        <x:f>COUNTIFS(UAT!$C$6:$C$149,B30,UAT!$P$6:$P$149,"Ready")</x:f>
        <x:v>0</x:v>
      </x:c>
      <x:c r="Q30" s="14" t="n">
        <x:f>IF(O30=0,0,P30/O30)</x:f>
        <x:v>0</x:v>
      </x:c>
      <x:c r="R30" s="13" t="str">
        <x:f>IF(O30=0,"Blocked: no tests",IF(P30&lt;O30,"Blocked: UAT",IF(AND(K30="Approved",LEN(L30)&gt;0,ISNUMBER(M30)),"Ready","Hold: approval")))</x:f>
        <x:v>Blocked: UAT</x:v>
      </x:c>
      <x:c r="S30" s="13" t="str">
        <x:f>IF(ISNUMBER(N30),IF(AND(N30&lt;Dashboard!$B$4,R30&lt;&gt;"Ready"),"Overdue","On track"),"No due date")</x:f>
        <x:v>No due date</x:v>
      </x:c>
    </x:row>
    <x:row r="31" ht="40" customHeight="1">
      <x:c r="A31" s="10" t="str">
        <x:v>ADS</x:v>
      </x:c>
      <x:c r="B31" s="10" t="str">
        <x:v>ADS-REQ-02</x:v>
      </x:c>
      <x:c r="C31" s="10" t="str">
        <x:v>Calculate weighted efficiency</x:v>
      </x:c>
      <x:c r="D31" s="10" t="str">
        <x:v>Which ad groups should be reviewed for a controlled budget test, and what cost/attribution gaps prevent a full ROI claim?</x:v>
      </x:c>
      <x:c r="E31" s="10" t="str">
        <x:v>Must</x:v>
      </x:c>
      <x:c r="F31" s="10" t="str">
        <x:v>Marketing Operations Manager</x:v>
      </x:c>
      <x:c r="G31" s="10" t="str">
        <x:v>Weighted fixtures match independent arithmetic; all zero denominators return null.</x:v>
      </x:c>
      <x:c r="H31" s="10" t="str">
        <x:v>ADS-US-02</x:v>
      </x:c>
      <x:c r="I31" s="10" t="str">
        <x:v>Analysis/Q02.csv</x:v>
      </x:c>
      <x:c r="J31" s="10" t="str">
        <x:v>Analysis prototype delivered</x:v>
      </x:c>
      <x:c r="K31" s="11" t="str">
        <x:v>Pending</x:v>
      </x:c>
      <x:c r="L31" s="11" t="str"/>
      <x:c r="M31" s="12" t="str"/>
      <x:c r="N31" s="12" t="str"/>
      <x:c r="O31" s="13" t="n">
        <x:f>COUNTIFS(UAT!$C$6:$C$149,B31)</x:f>
        <x:v>3</x:v>
      </x:c>
      <x:c r="P31" s="13" t="n">
        <x:f>COUNTIFS(UAT!$C$6:$C$149,B31,UAT!$P$6:$P$149,"Ready")</x:f>
        <x:v>0</x:v>
      </x:c>
      <x:c r="Q31" s="14" t="n">
        <x:f>IF(O31=0,0,P31/O31)</x:f>
        <x:v>0</x:v>
      </x:c>
      <x:c r="R31" s="13" t="str">
        <x:f>IF(O31=0,"Blocked: no tests",IF(P31&lt;O31,"Blocked: UAT",IF(AND(K31="Approved",LEN(L31)&gt;0,ISNUMBER(M31)),"Ready","Hold: approval")))</x:f>
        <x:v>Blocked: UAT</x:v>
      </x:c>
      <x:c r="S31" s="13" t="str">
        <x:f>IF(ISNUMBER(N31),IF(AND(N31&lt;Dashboard!$B$4,R31&lt;&gt;"Ready"),"Overdue","On track"),"No due date")</x:f>
        <x:v>No due date</x:v>
      </x:c>
    </x:row>
    <x:row r="32" ht="40" customHeight="1">
      <x:c r="A32" s="10" t="str">
        <x:v>ADS</x:v>
      </x:c>
      <x:c r="B32" s="10" t="str">
        <x:v>ADS-REQ-03</x:v>
      </x:c>
      <x:c r="C32" s="10" t="str">
        <x:v>Compare ad groups</x:v>
      </x:c>
      <x:c r="D32" s="10" t="str">
        <x:v>Which ad groups should be reviewed for a controlled budget test, and what cost/attribution gaps prevent a full ROI claim?</x:v>
      </x:c>
      <x:c r="E32" s="10" t="str">
        <x:v>Must</x:v>
      </x:c>
      <x:c r="F32" s="10" t="str">
        <x:v>Marketing Operations Manager</x:v>
      </x:c>
      <x:c r="G32" s="10" t="str">
        <x:v>Group totals reconcile to the portfolio totals and contribution is correctly labeled.</x:v>
      </x:c>
      <x:c r="H32" s="10" t="str">
        <x:v>ADS-US-03</x:v>
      </x:c>
      <x:c r="I32" s="10" t="str">
        <x:v>Analysis/Q02.csv</x:v>
      </x:c>
      <x:c r="J32" s="10" t="str">
        <x:v>Analysis prototype delivered</x:v>
      </x:c>
      <x:c r="K32" s="11" t="str">
        <x:v>Pending</x:v>
      </x:c>
      <x:c r="L32" s="11" t="str"/>
      <x:c r="M32" s="12" t="str"/>
      <x:c r="N32" s="12" t="str"/>
      <x:c r="O32" s="13" t="n">
        <x:f>COUNTIFS(UAT!$C$6:$C$149,B32)</x:f>
        <x:v>3</x:v>
      </x:c>
      <x:c r="P32" s="13" t="n">
        <x:f>COUNTIFS(UAT!$C$6:$C$149,B32,UAT!$P$6:$P$149,"Ready")</x:f>
        <x:v>0</x:v>
      </x:c>
      <x:c r="Q32" s="14" t="n">
        <x:f>IF(O32=0,0,P32/O32)</x:f>
        <x:v>0</x:v>
      </x:c>
      <x:c r="R32" s="13" t="str">
        <x:f>IF(O32=0,"Blocked: no tests",IF(P32&lt;O32,"Blocked: UAT",IF(AND(K32="Approved",LEN(L32)&gt;0,ISNUMBER(M32)),"Ready","Hold: approval")))</x:f>
        <x:v>Blocked: UAT</x:v>
      </x:c>
      <x:c r="S32" s="13" t="str">
        <x:f>IF(ISNUMBER(N32),IF(AND(N32&lt;Dashboard!$B$4,R32&lt;&gt;"Ready"),"Overdue","On track"),"No due date")</x:f>
        <x:v>No due date</x:v>
      </x:c>
    </x:row>
    <x:row r="33" ht="40" customHeight="1">
      <x:c r="A33" s="10" t="str">
        <x:v>ADS</x:v>
      </x:c>
      <x:c r="B33" s="10" t="str">
        <x:v>ADS-REQ-04</x:v>
      </x:c>
      <x:c r="C33" s="10" t="str">
        <x:v>Inspect device differences</x:v>
      </x:c>
      <x:c r="D33" s="10" t="str">
        <x:v>Which ad groups should be reviewed for a controlled budget test, and what cost/attribution gaps prevent a full ROI claim?</x:v>
      </x:c>
      <x:c r="E33" s="10" t="str">
        <x:v>Should</x:v>
      </x:c>
      <x:c r="F33" s="10" t="str">
        <x:v>Marketing Operations Manager</x:v>
      </x:c>
      <x:c r="G33" s="10" t="str">
        <x:v>Device totals reconcile and no causal explanation is generated automatically.</x:v>
      </x:c>
      <x:c r="H33" s="10" t="str">
        <x:v>ADS-US-04</x:v>
      </x:c>
      <x:c r="I33" s="10" t="str">
        <x:v>Analysis/Q03.csv</x:v>
      </x:c>
      <x:c r="J33" s="10" t="str">
        <x:v>Analysis prototype delivered</x:v>
      </x:c>
      <x:c r="K33" s="11" t="str">
        <x:v>Pending</x:v>
      </x:c>
      <x:c r="L33" s="11" t="str"/>
      <x:c r="M33" s="12" t="str"/>
      <x:c r="N33" s="12" t="str"/>
      <x:c r="O33" s="13" t="n">
        <x:f>COUNTIFS(UAT!$C$6:$C$149,B33)</x:f>
        <x:v>3</x:v>
      </x:c>
      <x:c r="P33" s="13" t="n">
        <x:f>COUNTIFS(UAT!$C$6:$C$149,B33,UAT!$P$6:$P$149,"Ready")</x:f>
        <x:v>0</x:v>
      </x:c>
      <x:c r="Q33" s="14" t="n">
        <x:f>IF(O33=0,0,P33/O33)</x:f>
        <x:v>0</x:v>
      </x:c>
      <x:c r="R33" s="13" t="str">
        <x:f>IF(O33=0,"Blocked: no tests",IF(P33&lt;O33,"Blocked: UAT",IF(AND(K33="Approved",LEN(L33)&gt;0,ISNUMBER(M33)),"Ready","Hold: approval")))</x:f>
        <x:v>Blocked: UAT</x:v>
      </x:c>
      <x:c r="S33" s="13" t="str">
        <x:f>IF(ISNUMBER(N33),IF(AND(N33&lt;Dashboard!$B$4,R33&lt;&gt;"Ready"),"Overdue","On track"),"No due date")</x:f>
        <x:v>No due date</x:v>
      </x:c>
    </x:row>
    <x:row r="34" ht="40" customHeight="1">
      <x:c r="A34" s="10" t="str">
        <x:v>ADS</x:v>
      </x:c>
      <x:c r="B34" s="10" t="str">
        <x:v>ADS-REQ-05</x:v>
      </x:c>
      <x:c r="C34" s="10" t="str">
        <x:v>Track monthly efficiency</x:v>
      </x:c>
      <x:c r="D34" s="10" t="str">
        <x:v>Which ad groups should be reviewed for a controlled budget test, and what cost/attribution gaps prevent a full ROI claim?</x:v>
      </x:c>
      <x:c r="E34" s="10" t="str">
        <x:v>Should</x:v>
      </x:c>
      <x:c r="F34" s="10" t="str">
        <x:v>Marketing Operations Manager</x:v>
      </x:c>
      <x:c r="G34" s="10" t="str">
        <x:v>Month order is chronological and first-month change is null.</x:v>
      </x:c>
      <x:c r="H34" s="10" t="str">
        <x:v>ADS-US-05</x:v>
      </x:c>
      <x:c r="I34" s="10" t="str">
        <x:v>Analysis/Q04.csv</x:v>
      </x:c>
      <x:c r="J34" s="10" t="str">
        <x:v>Analysis prototype delivered</x:v>
      </x:c>
      <x:c r="K34" s="11" t="str">
        <x:v>Pending</x:v>
      </x:c>
      <x:c r="L34" s="11" t="str"/>
      <x:c r="M34" s="12" t="str"/>
      <x:c r="N34" s="12" t="str"/>
      <x:c r="O34" s="13" t="n">
        <x:f>COUNTIFS(UAT!$C$6:$C$149,B34)</x:f>
        <x:v>3</x:v>
      </x:c>
      <x:c r="P34" s="13" t="n">
        <x:f>COUNTIFS(UAT!$C$6:$C$149,B34,UAT!$P$6:$P$149,"Ready")</x:f>
        <x:v>0</x:v>
      </x:c>
      <x:c r="Q34" s="14" t="n">
        <x:f>IF(O34=0,0,P34/O34)</x:f>
        <x:v>0</x:v>
      </x:c>
      <x:c r="R34" s="13" t="str">
        <x:f>IF(O34=0,"Blocked: no tests",IF(P34&lt;O34,"Blocked: UAT",IF(AND(K34="Approved",LEN(L34)&gt;0,ISNUMBER(M34)),"Ready","Hold: approval")))</x:f>
        <x:v>Blocked: UAT</x:v>
      </x:c>
      <x:c r="S34" s="13" t="str">
        <x:f>IF(ISNUMBER(N34),IF(AND(N34&lt;Dashboard!$B$4,R34&lt;&gt;"Ready"),"Overdue","On track"),"No due date")</x:f>
        <x:v>No due date</x:v>
      </x:c>
    </x:row>
    <x:row r="35" ht="40" customHeight="1">
      <x:c r="A35" s="10" t="str">
        <x:v>ADS</x:v>
      </x:c>
      <x:c r="B35" s="10" t="str">
        <x:v>ADS-REQ-06</x:v>
      </x:c>
      <x:c r="C35" s="10" t="str">
        <x:v>Set budget-test guardrails</x:v>
      </x:c>
      <x:c r="D35" s="10" t="str">
        <x:v>Which ad groups should be reviewed for a controlled budget test, and what cost/attribution gaps prevent a full ROI claim?</x:v>
      </x:c>
      <x:c r="E35" s="10" t="str">
        <x:v>Must</x:v>
      </x:c>
      <x:c r="F35" s="10" t="str">
        <x:v>Marketing Operations Manager</x:v>
      </x:c>
      <x:c r="G35" s="10" t="str">
        <x:v>The proposed plan includes approval, holdout strategy, minimum evidence, and a stop rule.</x:v>
      </x:c>
      <x:c r="H35" s="10" t="str">
        <x:v>ADS-US-06</x:v>
      </x:c>
      <x:c r="I35" s="10" t="str">
        <x:v>Docs/07_BI_and_System_Design.md</x:v>
      </x:c>
      <x:c r="J35" s="10" t="str">
        <x:v>Design specified; implementation pending</x:v>
      </x:c>
      <x:c r="K35" s="11" t="str">
        <x:v>Pending</x:v>
      </x:c>
      <x:c r="L35" s="11" t="str"/>
      <x:c r="M35" s="12" t="str"/>
      <x:c r="N35" s="12" t="str"/>
      <x:c r="O35" s="13" t="n">
        <x:f>COUNTIFS(UAT!$C$6:$C$149,B35)</x:f>
        <x:v>3</x:v>
      </x:c>
      <x:c r="P35" s="13" t="n">
        <x:f>COUNTIFS(UAT!$C$6:$C$149,B35,UAT!$P$6:$P$149,"Ready")</x:f>
        <x:v>0</x:v>
      </x:c>
      <x:c r="Q35" s="14" t="n">
        <x:f>IF(O35=0,0,P35/O35)</x:f>
        <x:v>0</x:v>
      </x:c>
      <x:c r="R35" s="13" t="str">
        <x:f>IF(O35=0,"Blocked: no tests",IF(P35&lt;O35,"Blocked: UAT",IF(AND(K35="Approved",LEN(L35)&gt;0,ISNUMBER(M35)),"Ready","Hold: approval")))</x:f>
        <x:v>Blocked: UAT</x:v>
      </x:c>
      <x:c r="S35" s="13" t="str">
        <x:f>IF(ISNUMBER(N35),IF(AND(N35&lt;Dashboard!$B$4,R35&lt;&gt;"Ready"),"Overdue","On track"),"No due date")</x:f>
        <x:v>No due date</x:v>
      </x:c>
    </x:row>
    <x:row r="36" ht="40" customHeight="1">
      <x:c r="A36" s="10" t="str">
        <x:v>ADS</x:v>
      </x:c>
      <x:c r="B36" s="10" t="str">
        <x:v>ADS-REQ-07</x:v>
      </x:c>
      <x:c r="C36" s="10" t="str">
        <x:v>Validate P&amp;L labeling</x:v>
      </x:c>
      <x:c r="D36" s="10" t="str">
        <x:v>Which ad groups should be reviewed for a controlled budget test, and what cost/attribution gaps prevent a full ROI claim?</x:v>
      </x:c>
      <x:c r="E36" s="10" t="str">
        <x:v>Must</x:v>
      </x:c>
      <x:c r="F36" s="10" t="str">
        <x:v>Marketing Operations Manager</x:v>
      </x:c>
      <x:c r="G36" s="10" t="str">
        <x:v>Every record with a difference above $0.01 is reported and full-profit language is excluded.</x:v>
      </x:c>
      <x:c r="H36" s="10" t="str">
        <x:v>ADS-US-07</x:v>
      </x:c>
      <x:c r="I36" s="10" t="str">
        <x:v>Analysis/Q01.csv</x:v>
      </x:c>
      <x:c r="J36" s="10" t="str">
        <x:v>Analysis prototype delivered</x:v>
      </x:c>
      <x:c r="K36" s="11" t="str">
        <x:v>Pending</x:v>
      </x:c>
      <x:c r="L36" s="11" t="str"/>
      <x:c r="M36" s="12" t="str"/>
      <x:c r="N36" s="12" t="str"/>
      <x:c r="O36" s="13" t="n">
        <x:f>COUNTIFS(UAT!$C$6:$C$149,B36)</x:f>
        <x:v>3</x:v>
      </x:c>
      <x:c r="P36" s="13" t="n">
        <x:f>COUNTIFS(UAT!$C$6:$C$149,B36,UAT!$P$6:$P$149,"Ready")</x:f>
        <x:v>0</x:v>
      </x:c>
      <x:c r="Q36" s="14" t="n">
        <x:f>IF(O36=0,0,P36/O36)</x:f>
        <x:v>0</x:v>
      </x:c>
      <x:c r="R36" s="13" t="str">
        <x:f>IF(O36=0,"Blocked: no tests",IF(P36&lt;O36,"Blocked: UAT",IF(AND(K36="Approved",LEN(L36)&gt;0,ISNUMBER(M36)),"Ready","Hold: approval")))</x:f>
        <x:v>Blocked: UAT</x:v>
      </x:c>
      <x:c r="S36" s="13" t="str">
        <x:f>IF(ISNUMBER(N36),IF(AND(N36&lt;Dashboard!$B$4,R36&lt;&gt;"Ready"),"Overdue","On track"),"No due date")</x:f>
        <x:v>No due date</x:v>
      </x:c>
    </x:row>
    <x:row r="37" ht="40" customHeight="1">
      <x:c r="A37" s="10" t="str">
        <x:v>ADS</x:v>
      </x:c>
      <x:c r="B37" s="10" t="str">
        <x:v>ADS-REQ-08</x:v>
      </x:c>
      <x:c r="C37" s="10" t="str">
        <x:v>Govern campaign exports</x:v>
      </x:c>
      <x:c r="D37" s="10" t="str">
        <x:v>Which ad groups should be reviewed for a controlled budget test, and what cost/attribution gaps prevent a full ROI claim?</x:v>
      </x:c>
      <x:c r="E37" s="10" t="str">
        <x:v>Must</x:v>
      </x:c>
      <x:c r="F37" s="10" t="str">
        <x:v>Marketing Operations Manager</x:v>
      </x:c>
      <x:c r="G37" s="10" t="str">
        <x:v>A future access test prevents viewer budget edits; prototype CSV has no role enforcement.</x:v>
      </x:c>
      <x:c r="H37" s="10" t="str">
        <x:v>ADS-US-08</x:v>
      </x:c>
      <x:c r="I37" s="10" t="str">
        <x:v>Docs/07_BI_and_System_Design.md</x:v>
      </x:c>
      <x:c r="J37" s="10" t="str">
        <x:v>Design specified; implementation pending</x:v>
      </x:c>
      <x:c r="K37" s="11" t="str">
        <x:v>Pending</x:v>
      </x:c>
      <x:c r="L37" s="11" t="str"/>
      <x:c r="M37" s="12" t="str"/>
      <x:c r="N37" s="12" t="str"/>
      <x:c r="O37" s="13" t="n">
        <x:f>COUNTIFS(UAT!$C$6:$C$149,B37)</x:f>
        <x:v>3</x:v>
      </x:c>
      <x:c r="P37" s="13" t="n">
        <x:f>COUNTIFS(UAT!$C$6:$C$149,B37,UAT!$P$6:$P$149,"Ready")</x:f>
        <x:v>0</x:v>
      </x:c>
      <x:c r="Q37" s="14" t="n">
        <x:f>IF(O37=0,0,P37/O37)</x:f>
        <x:v>0</x:v>
      </x:c>
      <x:c r="R37" s="13" t="str">
        <x:f>IF(O37=0,"Blocked: no tests",IF(P37&lt;O37,"Blocked: UAT",IF(AND(K37="Approved",LEN(L37)&gt;0,ISNUMBER(M37)),"Ready","Hold: approval")))</x:f>
        <x:v>Blocked: UAT</x:v>
      </x:c>
      <x:c r="S37" s="13" t="str">
        <x:f>IF(ISNUMBER(N37),IF(AND(N37&lt;Dashboard!$B$4,R37&lt;&gt;"Ready"),"Overdue","On track"),"No due date")</x:f>
        <x:v>No due date</x:v>
      </x:c>
    </x:row>
    <x:row r="38" ht="40" customHeight="1">
      <x:c r="A38" s="10" t="str">
        <x:v>REG</x:v>
      </x:c>
      <x:c r="B38" s="10" t="str">
        <x:v>REG-REQ-01</x:v>
      </x:c>
      <x:c r="C38" s="10" t="str">
        <x:v>Validate restaurant-month grain</x:v>
      </x:c>
      <x:c r="D38" s="10" t="str">
        <x:v>Which restaurants and zones require a manager review, and are observed monthly changes supported by comparable records?</x:v>
      </x:c>
      <x:c r="E38" s="10" t="str">
        <x:v>Must</x:v>
      </x:c>
      <x:c r="F38" s="10" t="str">
        <x:v>Sales Operations Manager</x:v>
      </x:c>
      <x:c r="G38" s="10" t="str">
        <x:v>No duplicate candidate keys or conflicting mappings are silently accepted.</x:v>
      </x:c>
      <x:c r="H38" s="10" t="str">
        <x:v>REG-US-01</x:v>
      </x:c>
      <x:c r="I38" s="10" t="str">
        <x:v>Analysis/Q01.csv</x:v>
      </x:c>
      <x:c r="J38" s="10" t="str">
        <x:v>Analysis prototype delivered</x:v>
      </x:c>
      <x:c r="K38" s="11" t="str">
        <x:v>Pending</x:v>
      </x:c>
      <x:c r="L38" s="11" t="str"/>
      <x:c r="M38" s="12" t="str"/>
      <x:c r="N38" s="12" t="str"/>
      <x:c r="O38" s="13" t="n">
        <x:f>COUNTIFS(UAT!$C$6:$C$149,B38)</x:f>
        <x:v>3</x:v>
      </x:c>
      <x:c r="P38" s="13" t="n">
        <x:f>COUNTIFS(UAT!$C$6:$C$149,B38,UAT!$P$6:$P$149,"Ready")</x:f>
        <x:v>0</x:v>
      </x:c>
      <x:c r="Q38" s="14" t="n">
        <x:f>IF(O38=0,0,P38/O38)</x:f>
        <x:v>0</x:v>
      </x:c>
      <x:c r="R38" s="13" t="str">
        <x:f>IF(O38=0,"Blocked: no tests",IF(P38&lt;O38,"Blocked: UAT",IF(AND(K38="Approved",LEN(L38)&gt;0,ISNUMBER(M38)),"Ready","Hold: approval")))</x:f>
        <x:v>Blocked: UAT</x:v>
      </x:c>
      <x:c r="S38" s="13" t="str">
        <x:f>IF(ISNUMBER(N38),IF(AND(N38&lt;Dashboard!$B$4,R38&lt;&gt;"Ready"),"Overdue","On track"),"No due date")</x:f>
        <x:v>No due date</x:v>
      </x:c>
    </x:row>
    <x:row r="39" ht="40" customHeight="1">
      <x:c r="A39" s="10" t="str">
        <x:v>REG</x:v>
      </x:c>
      <x:c r="B39" s="10" t="str">
        <x:v>REG-REQ-02</x:v>
      </x:c>
      <x:c r="C39" s="10" t="str">
        <x:v>Aggregate city and zone sales</x:v>
      </x:c>
      <x:c r="D39" s="10" t="str">
        <x:v>Which restaurants and zones require a manager review, and are observed monthly changes supported by comparable records?</x:v>
      </x:c>
      <x:c r="E39" s="10" t="str">
        <x:v>Must</x:v>
      </x:c>
      <x:c r="F39" s="10" t="str">
        <x:v>Sales Operations Manager</x:v>
      </x:c>
      <x:c r="G39" s="10" t="str">
        <x:v>Each grouping independently reconciles to portfolio sales within $0.01.</x:v>
      </x:c>
      <x:c r="H39" s="10" t="str">
        <x:v>REG-US-02</x:v>
      </x:c>
      <x:c r="I39" s="10" t="str">
        <x:v>Analysis/Q02.csv</x:v>
      </x:c>
      <x:c r="J39" s="10" t="str">
        <x:v>Analysis prototype delivered</x:v>
      </x:c>
      <x:c r="K39" s="11" t="str">
        <x:v>Pending</x:v>
      </x:c>
      <x:c r="L39" s="11" t="str"/>
      <x:c r="M39" s="12" t="str"/>
      <x:c r="N39" s="12" t="str"/>
      <x:c r="O39" s="13" t="n">
        <x:f>COUNTIFS(UAT!$C$6:$C$149,B39)</x:f>
        <x:v>3</x:v>
      </x:c>
      <x:c r="P39" s="13" t="n">
        <x:f>COUNTIFS(UAT!$C$6:$C$149,B39,UAT!$P$6:$P$149,"Ready")</x:f>
        <x:v>0</x:v>
      </x:c>
      <x:c r="Q39" s="14" t="n">
        <x:f>IF(O39=0,0,P39/O39)</x:f>
        <x:v>0</x:v>
      </x:c>
      <x:c r="R39" s="13" t="str">
        <x:f>IF(O39=0,"Blocked: no tests",IF(P39&lt;O39,"Blocked: UAT",IF(AND(K39="Approved",LEN(L39)&gt;0,ISNUMBER(M39)),"Ready","Hold: approval")))</x:f>
        <x:v>Blocked: UAT</x:v>
      </x:c>
      <x:c r="S39" s="13" t="str">
        <x:f>IF(ISNUMBER(N39),IF(AND(N39&lt;Dashboard!$B$4,R39&lt;&gt;"Ready"),"Overdue","On track"),"No due date")</x:f>
        <x:v>No due date</x:v>
      </x:c>
    </x:row>
    <x:row r="40" ht="40" customHeight="1">
      <x:c r="A40" s="10" t="str">
        <x:v>REG</x:v>
      </x:c>
      <x:c r="B40" s="10" t="str">
        <x:v>REG-REQ-03</x:v>
      </x:c>
      <x:c r="C40" s="10" t="str">
        <x:v>Show monthly change</x:v>
      </x:c>
      <x:c r="D40" s="10" t="str">
        <x:v>Which restaurants and zones require a manager review, and are observed monthly changes supported by comparable records?</x:v>
      </x:c>
      <x:c r="E40" s="10" t="str">
        <x:v>Must</x:v>
      </x:c>
      <x:c r="F40" s="10" t="str">
        <x:v>Sales Operations Manager</x:v>
      </x:c>
      <x:c r="G40" s="10" t="str">
        <x:v>July has no prior comparison; a missing August makes September comparison null.</x:v>
      </x:c>
      <x:c r="H40" s="10" t="str">
        <x:v>REG-US-03</x:v>
      </x:c>
      <x:c r="I40" s="10" t="str">
        <x:v>Analysis/Q03.csv</x:v>
      </x:c>
      <x:c r="J40" s="10" t="str">
        <x:v>Analysis prototype delivered</x:v>
      </x:c>
      <x:c r="K40" s="11" t="str">
        <x:v>Pending</x:v>
      </x:c>
      <x:c r="L40" s="11" t="str"/>
      <x:c r="M40" s="12" t="str"/>
      <x:c r="N40" s="12" t="str"/>
      <x:c r="O40" s="13" t="n">
        <x:f>COUNTIFS(UAT!$C$6:$C$149,B40)</x:f>
        <x:v>3</x:v>
      </x:c>
      <x:c r="P40" s="13" t="n">
        <x:f>COUNTIFS(UAT!$C$6:$C$149,B40,UAT!$P$6:$P$149,"Ready")</x:f>
        <x:v>0</x:v>
      </x:c>
      <x:c r="Q40" s="14" t="n">
        <x:f>IF(O40=0,0,P40/O40)</x:f>
        <x:v>0</x:v>
      </x:c>
      <x:c r="R40" s="13" t="str">
        <x:f>IF(O40=0,"Blocked: no tests",IF(P40&lt;O40,"Blocked: UAT",IF(AND(K40="Approved",LEN(L40)&gt;0,ISNUMBER(M40)),"Ready","Hold: approval")))</x:f>
        <x:v>Blocked: UAT</x:v>
      </x:c>
      <x:c r="S40" s="13" t="str">
        <x:f>IF(ISNUMBER(N40),IF(AND(N40&lt;Dashboard!$B$4,R40&lt;&gt;"Ready"),"Overdue","On track"),"No due date")</x:f>
        <x:v>No due date</x:v>
      </x:c>
    </x:row>
    <x:row r="41" ht="40" customHeight="1">
      <x:c r="A41" s="10" t="str">
        <x:v>REG</x:v>
      </x:c>
      <x:c r="B41" s="10" t="str">
        <x:v>REG-REQ-04</x:v>
      </x:c>
      <x:c r="C41" s="10" t="str">
        <x:v>Rank restaurants fairly</x:v>
      </x:c>
      <x:c r="D41" s="10" t="str">
        <x:v>Which restaurants and zones require a manager review, and are observed monthly changes supported by comparable records?</x:v>
      </x:c>
      <x:c r="E41" s="10" t="str">
        <x:v>Should</x:v>
      </x:c>
      <x:c r="F41" s="10" t="str">
        <x:v>Sales Operations Manager</x:v>
      </x:c>
      <x:c r="G41" s="10" t="str">
        <x:v>Ranks use the full selected period and ties resolve deterministically.</x:v>
      </x:c>
      <x:c r="H41" s="10" t="str">
        <x:v>REG-US-04</x:v>
      </x:c>
      <x:c r="I41" s="10" t="str">
        <x:v>Analysis/Q04.csv</x:v>
      </x:c>
      <x:c r="J41" s="10" t="str">
        <x:v>Analysis prototype delivered</x:v>
      </x:c>
      <x:c r="K41" s="11" t="str">
        <x:v>Pending</x:v>
      </x:c>
      <x:c r="L41" s="11" t="str"/>
      <x:c r="M41" s="12" t="str"/>
      <x:c r="N41" s="12" t="str"/>
      <x:c r="O41" s="13" t="n">
        <x:f>COUNTIFS(UAT!$C$6:$C$149,B41)</x:f>
        <x:v>3</x:v>
      </x:c>
      <x:c r="P41" s="13" t="n">
        <x:f>COUNTIFS(UAT!$C$6:$C$149,B41,UAT!$P$6:$P$149,"Ready")</x:f>
        <x:v>0</x:v>
      </x:c>
      <x:c r="Q41" s="14" t="n">
        <x:f>IF(O41=0,0,P41/O41)</x:f>
        <x:v>0</x:v>
      </x:c>
      <x:c r="R41" s="13" t="str">
        <x:f>IF(O41=0,"Blocked: no tests",IF(P41&lt;O41,"Blocked: UAT",IF(AND(K41="Approved",LEN(L41)&gt;0,ISNUMBER(M41)),"Ready","Hold: approval")))</x:f>
        <x:v>Blocked: UAT</x:v>
      </x:c>
      <x:c r="S41" s="13" t="str">
        <x:f>IF(ISNUMBER(N41),IF(AND(N41&lt;Dashboard!$B$4,R41&lt;&gt;"Ready"),"Overdue","On track"),"No due date")</x:f>
        <x:v>No due date</x:v>
      </x:c>
    </x:row>
    <x:row r="42" ht="40" customHeight="1">
      <x:c r="A42" s="10" t="str">
        <x:v>REG</x:v>
      </x:c>
      <x:c r="B42" s="10" t="str">
        <x:v>REG-REQ-05</x:v>
      </x:c>
      <x:c r="C42" s="10" t="str">
        <x:v>Expose coverage gaps</x:v>
      </x:c>
      <x:c r="D42" s="10" t="str">
        <x:v>Which restaurants and zones require a manager review, and are observed monthly changes supported by comparable records?</x:v>
      </x:c>
      <x:c r="E42" s="10" t="str">
        <x:v>Must</x:v>
      </x:c>
      <x:c r="F42" s="10" t="str">
        <x:v>Sales Operations Manager</x:v>
      </x:c>
      <x:c r="G42" s="10" t="str">
        <x:v>Restaurants with fewer than the extract month count are listed for investigation.</x:v>
      </x:c>
      <x:c r="H42" s="10" t="str">
        <x:v>REG-US-05</x:v>
      </x:c>
      <x:c r="I42" s="10" t="str">
        <x:v>Analysis/Q04.csv</x:v>
      </x:c>
      <x:c r="J42" s="10" t="str">
        <x:v>Analysis prototype delivered</x:v>
      </x:c>
      <x:c r="K42" s="11" t="str">
        <x:v>Pending</x:v>
      </x:c>
      <x:c r="L42" s="11" t="str"/>
      <x:c r="M42" s="12" t="str"/>
      <x:c r="N42" s="12" t="str"/>
      <x:c r="O42" s="13" t="n">
        <x:f>COUNTIFS(UAT!$C$6:$C$149,B42)</x:f>
        <x:v>3</x:v>
      </x:c>
      <x:c r="P42" s="13" t="n">
        <x:f>COUNTIFS(UAT!$C$6:$C$149,B42,UAT!$P$6:$P$149,"Ready")</x:f>
        <x:v>0</x:v>
      </x:c>
      <x:c r="Q42" s="14" t="n">
        <x:f>IF(O42=0,0,P42/O42)</x:f>
        <x:v>0</x:v>
      </x:c>
      <x:c r="R42" s="13" t="str">
        <x:f>IF(O42=0,"Blocked: no tests",IF(P42&lt;O42,"Blocked: UAT",IF(AND(K42="Approved",LEN(L42)&gt;0,ISNUMBER(M42)),"Ready","Hold: approval")))</x:f>
        <x:v>Blocked: UAT</x:v>
      </x:c>
      <x:c r="S42" s="13" t="str">
        <x:f>IF(ISNUMBER(N42),IF(AND(N42&lt;Dashboard!$B$4,R42&lt;&gt;"Ready"),"Overdue","On track"),"No due date")</x:f>
        <x:v>No due date</x:v>
      </x:c>
    </x:row>
    <x:row r="43" ht="40" customHeight="1">
      <x:c r="A43" s="10" t="str">
        <x:v>REG</x:v>
      </x:c>
      <x:c r="B43" s="10" t="str">
        <x:v>REG-REQ-06</x:v>
      </x:c>
      <x:c r="C43" s="10" t="str">
        <x:v>Separate sales from targets</x:v>
      </x:c>
      <x:c r="D43" s="10" t="str">
        <x:v>Which restaurants and zones require a manager review, and are observed monthly changes supported by comparable records?</x:v>
      </x:c>
      <x:c r="E43" s="10" t="str">
        <x:v>Must</x:v>
      </x:c>
      <x:c r="F43" s="10" t="str">
        <x:v>Sales Operations Manager</x:v>
      </x:c>
      <x:c r="G43" s="10" t="str">
        <x:v>All current metrics refer to sales; no YoY or profitability claim is presented.</x:v>
      </x:c>
      <x:c r="H43" s="10" t="str">
        <x:v>REG-US-06</x:v>
      </x:c>
      <x:c r="I43" s="10" t="str">
        <x:v>Analysis/Q02.csv</x:v>
      </x:c>
      <x:c r="J43" s="10" t="str">
        <x:v>Analysis prototype delivered</x:v>
      </x:c>
      <x:c r="K43" s="11" t="str">
        <x:v>Pending</x:v>
      </x:c>
      <x:c r="L43" s="11" t="str"/>
      <x:c r="M43" s="12" t="str"/>
      <x:c r="N43" s="12" t="str"/>
      <x:c r="O43" s="13" t="n">
        <x:f>COUNTIFS(UAT!$C$6:$C$149,B43)</x:f>
        <x:v>3</x:v>
      </x:c>
      <x:c r="P43" s="13" t="n">
        <x:f>COUNTIFS(UAT!$C$6:$C$149,B43,UAT!$P$6:$P$149,"Ready")</x:f>
        <x:v>0</x:v>
      </x:c>
      <x:c r="Q43" s="14" t="n">
        <x:f>IF(O43=0,0,P43/O43)</x:f>
        <x:v>0</x:v>
      </x:c>
      <x:c r="R43" s="13" t="str">
        <x:f>IF(O43=0,"Blocked: no tests",IF(P43&lt;O43,"Blocked: UAT",IF(AND(K43="Approved",LEN(L43)&gt;0,ISNUMBER(M43)),"Ready","Hold: approval")))</x:f>
        <x:v>Blocked: UAT</x:v>
      </x:c>
      <x:c r="S43" s="13" t="str">
        <x:f>IF(ISNUMBER(N43),IF(AND(N43&lt;Dashboard!$B$4,R43&lt;&gt;"Ready"),"Overdue","On track"),"No due date")</x:f>
        <x:v>No due date</x:v>
      </x:c>
    </x:row>
    <x:row r="44" ht="40" customHeight="1">
      <x:c r="A44" s="10" t="str">
        <x:v>REG</x:v>
      </x:c>
      <x:c r="B44" s="10" t="str">
        <x:v>REG-REQ-07</x:v>
      </x:c>
      <x:c r="C44" s="10" t="str">
        <x:v>Define manager review workflow</x:v>
      </x:c>
      <x:c r="D44" s="10" t="str">
        <x:v>Which restaurants and zones require a manager review, and are observed monthly changes supported by comparable records?</x:v>
      </x:c>
      <x:c r="E44" s="10" t="str">
        <x:v>Should</x:v>
      </x:c>
      <x:c r="F44" s="10" t="str">
        <x:v>Sales Operations Manager</x:v>
      </x:c>
      <x:c r="G44" s="10" t="str">
        <x:v>Design includes owner, reason, next action, due date, and review evidence.</x:v>
      </x:c>
      <x:c r="H44" s="10" t="str">
        <x:v>REG-US-07</x:v>
      </x:c>
      <x:c r="I44" s="10" t="str">
        <x:v>Docs/07_BI_and_System_Design.md</x:v>
      </x:c>
      <x:c r="J44" s="10" t="str">
        <x:v>Design specified; implementation pending</x:v>
      </x:c>
      <x:c r="K44" s="11" t="str">
        <x:v>Pending</x:v>
      </x:c>
      <x:c r="L44" s="11" t="str"/>
      <x:c r="M44" s="12" t="str"/>
      <x:c r="N44" s="12" t="str"/>
      <x:c r="O44" s="13" t="n">
        <x:f>COUNTIFS(UAT!$C$6:$C$149,B44)</x:f>
        <x:v>3</x:v>
      </x:c>
      <x:c r="P44" s="13" t="n">
        <x:f>COUNTIFS(UAT!$C$6:$C$149,B44,UAT!$P$6:$P$149,"Ready")</x:f>
        <x:v>0</x:v>
      </x:c>
      <x:c r="Q44" s="14" t="n">
        <x:f>IF(O44=0,0,P44/O44)</x:f>
        <x:v>0</x:v>
      </x:c>
      <x:c r="R44" s="13" t="str">
        <x:f>IF(O44=0,"Blocked: no tests",IF(P44&lt;O44,"Blocked: UAT",IF(AND(K44="Approved",LEN(L44)&gt;0,ISNUMBER(M44)),"Ready","Hold: approval")))</x:f>
        <x:v>Blocked: UAT</x:v>
      </x:c>
      <x:c r="S44" s="13" t="str">
        <x:f>IF(ISNUMBER(N44),IF(AND(N44&lt;Dashboard!$B$4,R44&lt;&gt;"Ready"),"Overdue","On track"),"No due date")</x:f>
        <x:v>No due date</x:v>
      </x:c>
    </x:row>
    <x:row r="45" ht="40" customHeight="1">
      <x:c r="A45" s="10" t="str">
        <x:v>REG</x:v>
      </x:c>
      <x:c r="B45" s="10" t="str">
        <x:v>REG-REQ-08</x:v>
      </x:c>
      <x:c r="C45" s="10" t="str">
        <x:v>Define access by region</x:v>
      </x:c>
      <x:c r="D45" s="10" t="str">
        <x:v>Which restaurants and zones require a manager review, and are observed monthly changes supported by comparable records?</x:v>
      </x:c>
      <x:c r="E45" s="10" t="str">
        <x:v>Must</x:v>
      </x:c>
      <x:c r="F45" s="10" t="str">
        <x:v>Sales Operations Manager</x:v>
      </x:c>
      <x:c r="G45" s="10" t="str">
        <x:v>Future role tests limit managers to assigned zones; current local CSV has no RLS.</x:v>
      </x:c>
      <x:c r="H45" s="10" t="str">
        <x:v>REG-US-08</x:v>
      </x:c>
      <x:c r="I45" s="10" t="str">
        <x:v>Docs/07_BI_and_System_Design.md</x:v>
      </x:c>
      <x:c r="J45" s="10" t="str">
        <x:v>Design specified; implementation pending</x:v>
      </x:c>
      <x:c r="K45" s="11" t="str">
        <x:v>Pending</x:v>
      </x:c>
      <x:c r="L45" s="11" t="str"/>
      <x:c r="M45" s="12" t="str"/>
      <x:c r="N45" s="12" t="str"/>
      <x:c r="O45" s="13" t="n">
        <x:f>COUNTIFS(UAT!$C$6:$C$149,B45)</x:f>
        <x:v>3</x:v>
      </x:c>
      <x:c r="P45" s="13" t="n">
        <x:f>COUNTIFS(UAT!$C$6:$C$149,B45,UAT!$P$6:$P$149,"Ready")</x:f>
        <x:v>0</x:v>
      </x:c>
      <x:c r="Q45" s="14" t="n">
        <x:f>IF(O45=0,0,P45/O45)</x:f>
        <x:v>0</x:v>
      </x:c>
      <x:c r="R45" s="13" t="str">
        <x:f>IF(O45=0,"Blocked: no tests",IF(P45&lt;O45,"Blocked: UAT",IF(AND(K45="Approved",LEN(L45)&gt;0,ISNUMBER(M45)),"Ready","Hold: approval")))</x:f>
        <x:v>Blocked: UAT</x:v>
      </x:c>
      <x:c r="S45" s="13" t="str">
        <x:f>IF(ISNUMBER(N45),IF(AND(N45&lt;Dashboard!$B$4,R45&lt;&gt;"Ready"),"Overdue","On track"),"No due date")</x:f>
        <x:v>No due date</x:v>
      </x:c>
    </x:row>
    <x:row r="46" ht="54" customHeight="1">
      <x:c r="A46" s="10" t="str">
        <x:v>CRM</x:v>
      </x:c>
      <x:c r="B46" s="10" t="str">
        <x:v>CRM-REQ-01</x:v>
      </x:c>
      <x:c r="C46" s="10" t="str">
        <x:v>Validate opportunity records</x:v>
      </x:c>
      <x:c r="D46" s="10" t="str">
        <x:v>What is the current open pipeline and weighted open pipeline, and what additional CRM fields are needed before forecasting timing or conversion?</x:v>
      </x:c>
      <x:c r="E46" s="10" t="str">
        <x:v>Must</x:v>
      </x:c>
      <x:c r="F46" s="10" t="str">
        <x:v>Sales Operations Manager</x:v>
      </x:c>
      <x:c r="G46" s="10" t="str">
        <x:v>Duplicate IDs and probability outside 0-1 are detected; supplied records are profiled.</x:v>
      </x:c>
      <x:c r="H46" s="10" t="str">
        <x:v>CRM-US-01</x:v>
      </x:c>
      <x:c r="I46" s="10" t="str">
        <x:v>Analysis/Q01.csv</x:v>
      </x:c>
      <x:c r="J46" s="10" t="str">
        <x:v>Analysis prototype delivered</x:v>
      </x:c>
      <x:c r="K46" s="11" t="str">
        <x:v>Pending</x:v>
      </x:c>
      <x:c r="L46" s="11" t="str"/>
      <x:c r="M46" s="12" t="str"/>
      <x:c r="N46" s="12" t="str"/>
      <x:c r="O46" s="13" t="n">
        <x:f>COUNTIFS(UAT!$C$6:$C$149,B46)</x:f>
        <x:v>3</x:v>
      </x:c>
      <x:c r="P46" s="13" t="n">
        <x:f>COUNTIFS(UAT!$C$6:$C$149,B46,UAT!$P$6:$P$149,"Ready")</x:f>
        <x:v>0</x:v>
      </x:c>
      <x:c r="Q46" s="14" t="n">
        <x:f>IF(O46=0,0,P46/O46)</x:f>
        <x:v>0</x:v>
      </x:c>
      <x:c r="R46" s="13" t="str">
        <x:f>IF(O46=0,"Blocked: no tests",IF(P46&lt;O46,"Blocked: UAT",IF(AND(K46="Approved",LEN(L46)&gt;0,ISNUMBER(M46)),"Ready","Hold: approval")))</x:f>
        <x:v>Blocked: UAT</x:v>
      </x:c>
      <x:c r="S46" s="13" t="str">
        <x:f>IF(ISNUMBER(N46),IF(AND(N46&lt;Dashboard!$B$4,R46&lt;&gt;"Ready"),"Overdue","On track"),"No due date")</x:f>
        <x:v>No due date</x:v>
      </x:c>
    </x:row>
    <x:row r="47" ht="54" customHeight="1">
      <x:c r="A47" s="10" t="str">
        <x:v>CRM</x:v>
      </x:c>
      <x:c r="B47" s="10" t="str">
        <x:v>CRM-REQ-02</x:v>
      </x:c>
      <x:c r="C47" s="10" t="str">
        <x:v>Separate open and closed values</x:v>
      </x:c>
      <x:c r="D47" s="10" t="str">
        <x:v>What is the current open pipeline and weighted open pipeline, and what additional CRM fields are needed before forecasting timing or conversion?</x:v>
      </x:c>
      <x:c r="E47" s="10" t="str">
        <x:v>Must</x:v>
      </x:c>
      <x:c r="F47" s="10" t="str">
        <x:v>Sales Operations Manager</x:v>
      </x:c>
      <x:c r="G47" s="10" t="str">
        <x:v>Open + won + lost equals all-record amount within $0.01.</x:v>
      </x:c>
      <x:c r="H47" s="10" t="str">
        <x:v>CRM-US-02</x:v>
      </x:c>
      <x:c r="I47" s="10" t="str">
        <x:v>Analysis/Q02.csv</x:v>
      </x:c>
      <x:c r="J47" s="10" t="str">
        <x:v>Analysis prototype delivered</x:v>
      </x:c>
      <x:c r="K47" s="11" t="str">
        <x:v>Pending</x:v>
      </x:c>
      <x:c r="L47" s="11" t="str"/>
      <x:c r="M47" s="12" t="str"/>
      <x:c r="N47" s="12" t="str"/>
      <x:c r="O47" s="13" t="n">
        <x:f>COUNTIFS(UAT!$C$6:$C$149,B47)</x:f>
        <x:v>3</x:v>
      </x:c>
      <x:c r="P47" s="13" t="n">
        <x:f>COUNTIFS(UAT!$C$6:$C$149,B47,UAT!$P$6:$P$149,"Ready")</x:f>
        <x:v>0</x:v>
      </x:c>
      <x:c r="Q47" s="14" t="n">
        <x:f>IF(O47=0,0,P47/O47)</x:f>
        <x:v>0</x:v>
      </x:c>
      <x:c r="R47" s="13" t="str">
        <x:f>IF(O47=0,"Blocked: no tests",IF(P47&lt;O47,"Blocked: UAT",IF(AND(K47="Approved",LEN(L47)&gt;0,ISNUMBER(M47)),"Ready","Hold: approval")))</x:f>
        <x:v>Blocked: UAT</x:v>
      </x:c>
      <x:c r="S47" s="13" t="str">
        <x:f>IF(ISNUMBER(N47),IF(AND(N47&lt;Dashboard!$B$4,R47&lt;&gt;"Ready"),"Overdue","On track"),"No due date")</x:f>
        <x:v>No due date</x:v>
      </x:c>
    </x:row>
    <x:row r="48" ht="54" customHeight="1">
      <x:c r="A48" s="10" t="str">
        <x:v>CRM</x:v>
      </x:c>
      <x:c r="B48" s="10" t="str">
        <x:v>CRM-REQ-03</x:v>
      </x:c>
      <x:c r="C48" s="10" t="str">
        <x:v>Calculate weighted open pipeline</x:v>
      </x:c>
      <x:c r="D48" s="10" t="str">
        <x:v>What is the current open pipeline and weighted open pipeline, and what additional CRM fields are needed before forecasting timing or conversion?</x:v>
      </x:c>
      <x:c r="E48" s="10" t="str">
        <x:v>Must</x:v>
      </x:c>
      <x:c r="F48" s="10" t="str">
        <x:v>Sales Operations Manager</x:v>
      </x:c>
      <x:c r="G48" s="10" t="str">
        <x:v>Fixed unequal-amount fixture matches sum of products; closed values are excluded.</x:v>
      </x:c>
      <x:c r="H48" s="10" t="str">
        <x:v>CRM-US-03</x:v>
      </x:c>
      <x:c r="I48" s="10" t="str">
        <x:v>Analysis/Q02.csv</x:v>
      </x:c>
      <x:c r="J48" s="10" t="str">
        <x:v>Analysis prototype delivered</x:v>
      </x:c>
      <x:c r="K48" s="11" t="str">
        <x:v>Pending</x:v>
      </x:c>
      <x:c r="L48" s="11" t="str"/>
      <x:c r="M48" s="12" t="str"/>
      <x:c r="N48" s="12" t="str"/>
      <x:c r="O48" s="13" t="n">
        <x:f>COUNTIFS(UAT!$C$6:$C$149,B48)</x:f>
        <x:v>3</x:v>
      </x:c>
      <x:c r="P48" s="13" t="n">
        <x:f>COUNTIFS(UAT!$C$6:$C$149,B48,UAT!$P$6:$P$149,"Ready")</x:f>
        <x:v>0</x:v>
      </x:c>
      <x:c r="Q48" s="14" t="n">
        <x:f>IF(O48=0,0,P48/O48)</x:f>
        <x:v>0</x:v>
      </x:c>
      <x:c r="R48" s="13" t="str">
        <x:f>IF(O48=0,"Blocked: no tests",IF(P48&lt;O48,"Blocked: UAT",IF(AND(K48="Approved",LEN(L48)&gt;0,ISNUMBER(M48)),"Ready","Hold: approval")))</x:f>
        <x:v>Blocked: UAT</x:v>
      </x:c>
      <x:c r="S48" s="13" t="str">
        <x:f>IF(ISNUMBER(N48),IF(AND(N48&lt;Dashboard!$B$4,R48&lt;&gt;"Ready"),"Overdue","On track"),"No due date")</x:f>
        <x:v>No due date</x:v>
      </x:c>
    </x:row>
    <x:row r="49" ht="54" customHeight="1">
      <x:c r="A49" s="10" t="str">
        <x:v>CRM</x:v>
      </x:c>
      <x:c r="B49" s="10" t="str">
        <x:v>CRM-REQ-04</x:v>
      </x:c>
      <x:c r="C49" s="10" t="str">
        <x:v>Review stage concentration</x:v>
      </x:c>
      <x:c r="D49" s="10" t="str">
        <x:v>What is the current open pipeline and weighted open pipeline, and what additional CRM fields are needed before forecasting timing or conversion?</x:v>
      </x:c>
      <x:c r="E49" s="10" t="str">
        <x:v>Should</x:v>
      </x:c>
      <x:c r="F49" s="10" t="str">
        <x:v>Sales Operations Manager</x:v>
      </x:c>
      <x:c r="G49" s="10" t="str">
        <x:v>Stage amounts reconcile; counts total the source record count.</x:v>
      </x:c>
      <x:c r="H49" s="10" t="str">
        <x:v>CRM-US-04</x:v>
      </x:c>
      <x:c r="I49" s="10" t="str">
        <x:v>Analysis/Q03.csv</x:v>
      </x:c>
      <x:c r="J49" s="10" t="str">
        <x:v>Analysis prototype delivered</x:v>
      </x:c>
      <x:c r="K49" s="11" t="str">
        <x:v>Pending</x:v>
      </x:c>
      <x:c r="L49" s="11" t="str"/>
      <x:c r="M49" s="12" t="str"/>
      <x:c r="N49" s="12" t="str"/>
      <x:c r="O49" s="13" t="n">
        <x:f>COUNTIFS(UAT!$C$6:$C$149,B49)</x:f>
        <x:v>3</x:v>
      </x:c>
      <x:c r="P49" s="13" t="n">
        <x:f>COUNTIFS(UAT!$C$6:$C$149,B49,UAT!$P$6:$P$149,"Ready")</x:f>
        <x:v>0</x:v>
      </x:c>
      <x:c r="Q49" s="14" t="n">
        <x:f>IF(O49=0,0,P49/O49)</x:f>
        <x:v>0</x:v>
      </x:c>
      <x:c r="R49" s="13" t="str">
        <x:f>IF(O49=0,"Blocked: no tests",IF(P49&lt;O49,"Blocked: UAT",IF(AND(K49="Approved",LEN(L49)&gt;0,ISNUMBER(M49)),"Ready","Hold: approval")))</x:f>
        <x:v>Blocked: UAT</x:v>
      </x:c>
      <x:c r="S49" s="13" t="str">
        <x:f>IF(ISNUMBER(N49),IF(AND(N49&lt;Dashboard!$B$4,R49&lt;&gt;"Ready"),"Overdue","On track"),"No due date")</x:f>
        <x:v>No due date</x:v>
      </x:c>
    </x:row>
    <x:row r="50" ht="54" customHeight="1">
      <x:c r="A50" s="10" t="str">
        <x:v>CRM</x:v>
      </x:c>
      <x:c r="B50" s="10" t="str">
        <x:v>CRM-REQ-05</x:v>
      </x:c>
      <x:c r="C50" s="10" t="str">
        <x:v>Create opportunity review queue</x:v>
      </x:c>
      <x:c r="D50" s="10" t="str">
        <x:v>What is the current open pipeline and weighted open pipeline, and what additional CRM fields are needed before forecasting timing or conversion?</x:v>
      </x:c>
      <x:c r="E50" s="10" t="str">
        <x:v>Should</x:v>
      </x:c>
      <x:c r="F50" s="10" t="str">
        <x:v>Sales Operations Manager</x:v>
      </x:c>
      <x:c r="G50" s="10" t="str">
        <x:v>Only open stages appear and each value is traceable to one source record.</x:v>
      </x:c>
      <x:c r="H50" s="10" t="str">
        <x:v>CRM-US-05</x:v>
      </x:c>
      <x:c r="I50" s="10" t="str">
        <x:v>Analysis/Q04.csv</x:v>
      </x:c>
      <x:c r="J50" s="10" t="str">
        <x:v>Analysis prototype delivered</x:v>
      </x:c>
      <x:c r="K50" s="11" t="str">
        <x:v>Pending</x:v>
      </x:c>
      <x:c r="L50" s="11" t="str"/>
      <x:c r="M50" s="12" t="str"/>
      <x:c r="N50" s="12" t="str"/>
      <x:c r="O50" s="13" t="n">
        <x:f>COUNTIFS(UAT!$C$6:$C$149,B50)</x:f>
        <x:v>3</x:v>
      </x:c>
      <x:c r="P50" s="13" t="n">
        <x:f>COUNTIFS(UAT!$C$6:$C$149,B50,UAT!$P$6:$P$149,"Ready")</x:f>
        <x:v>0</x:v>
      </x:c>
      <x:c r="Q50" s="14" t="n">
        <x:f>IF(O50=0,0,P50/O50)</x:f>
        <x:v>0</x:v>
      </x:c>
      <x:c r="R50" s="13" t="str">
        <x:f>IF(O50=0,"Blocked: no tests",IF(P50&lt;O50,"Blocked: UAT",IF(AND(K50="Approved",LEN(L50)&gt;0,ISNUMBER(M50)),"Ready","Hold: approval")))</x:f>
        <x:v>Blocked: UAT</x:v>
      </x:c>
      <x:c r="S50" s="13" t="str">
        <x:f>IF(ISNUMBER(N50),IF(AND(N50&lt;Dashboard!$B$4,R50&lt;&gt;"Ready"),"Overdue","On track"),"No due date")</x:f>
        <x:v>No due date</x:v>
      </x:c>
    </x:row>
    <x:row r="51" ht="54" customHeight="1">
      <x:c r="A51" s="10" t="str">
        <x:v>CRM</x:v>
      </x:c>
      <x:c r="B51" s="10" t="str">
        <x:v>CRM-REQ-06</x:v>
      </x:c>
      <x:c r="C51" s="10" t="str">
        <x:v>Expose forecast limitations</x:v>
      </x:c>
      <x:c r="D51" s="10" t="str">
        <x:v>What is the current open pipeline and weighted open pipeline, and what additional CRM fields are needed before forecasting timing or conversion?</x:v>
      </x:c>
      <x:c r="E51" s="10" t="str">
        <x:v>Must</x:v>
      </x:c>
      <x:c r="F51" s="10" t="str">
        <x:v>Sales Operations Manager</x:v>
      </x:c>
      <x:c r="G51" s="10" t="str">
        <x:v>No sales velocity, historical win rate, or time-bounded forecast is claimed.</x:v>
      </x:c>
      <x:c r="H51" s="10" t="str">
        <x:v>CRM-US-06</x:v>
      </x:c>
      <x:c r="I51" s="10" t="str">
        <x:v>Analysis/Q01.csv</x:v>
      </x:c>
      <x:c r="J51" s="10" t="str">
        <x:v>Analysis prototype delivered</x:v>
      </x:c>
      <x:c r="K51" s="11" t="str">
        <x:v>Pending</x:v>
      </x:c>
      <x:c r="L51" s="11" t="str"/>
      <x:c r="M51" s="12" t="str"/>
      <x:c r="N51" s="12" t="str"/>
      <x:c r="O51" s="13" t="n">
        <x:f>COUNTIFS(UAT!$C$6:$C$149,B51)</x:f>
        <x:v>3</x:v>
      </x:c>
      <x:c r="P51" s="13" t="n">
        <x:f>COUNTIFS(UAT!$C$6:$C$149,B51,UAT!$P$6:$P$149,"Ready")</x:f>
        <x:v>0</x:v>
      </x:c>
      <x:c r="Q51" s="14" t="n">
        <x:f>IF(O51=0,0,P51/O51)</x:f>
        <x:v>0</x:v>
      </x:c>
      <x:c r="R51" s="13" t="str">
        <x:f>IF(O51=0,"Blocked: no tests",IF(P51&lt;O51,"Blocked: UAT",IF(AND(K51="Approved",LEN(L51)&gt;0,ISNUMBER(M51)),"Ready","Hold: approval")))</x:f>
        <x:v>Blocked: UAT</x:v>
      </x:c>
      <x:c r="S51" s="13" t="str">
        <x:f>IF(ISNUMBER(N51),IF(AND(N51&lt;Dashboard!$B$4,R51&lt;&gt;"Ready"),"Overdue","On track"),"No due date")</x:f>
        <x:v>No due date</x:v>
      </x:c>
    </x:row>
    <x:row r="52" ht="54" customHeight="1">
      <x:c r="A52" s="10" t="str">
        <x:v>CRM</x:v>
      </x:c>
      <x:c r="B52" s="10" t="str">
        <x:v>CRM-REQ-07</x:v>
      </x:c>
      <x:c r="C52" s="10" t="str">
        <x:v>Specify stage controls</x:v>
      </x:c>
      <x:c r="D52" s="10" t="str">
        <x:v>What is the current open pipeline and weighted open pipeline, and what additional CRM fields are needed before forecasting timing or conversion?</x:v>
      </x:c>
      <x:c r="E52" s="10" t="str">
        <x:v>Must</x:v>
      </x:c>
      <x:c r="F52" s="10" t="str">
        <x:v>Sales Operations Manager</x:v>
      </x:c>
      <x:c r="G52" s="10" t="str">
        <x:v>Closed Won with probability below 1 and Closed Lost above 0 are blocked in fixture/design tests.</x:v>
      </x:c>
      <x:c r="H52" s="10" t="str">
        <x:v>CRM-US-07</x:v>
      </x:c>
      <x:c r="I52" s="10" t="str">
        <x:v>Docs/07_BI_and_System_Design.md</x:v>
      </x:c>
      <x:c r="J52" s="10" t="str">
        <x:v>Design specified; implementation pending</x:v>
      </x:c>
      <x:c r="K52" s="11" t="str">
        <x:v>Pending</x:v>
      </x:c>
      <x:c r="L52" s="11" t="str"/>
      <x:c r="M52" s="12" t="str"/>
      <x:c r="N52" s="12" t="str"/>
      <x:c r="O52" s="13" t="n">
        <x:f>COUNTIFS(UAT!$C$6:$C$149,B52)</x:f>
        <x:v>3</x:v>
      </x:c>
      <x:c r="P52" s="13" t="n">
        <x:f>COUNTIFS(UAT!$C$6:$C$149,B52,UAT!$P$6:$P$149,"Ready")</x:f>
        <x:v>0</x:v>
      </x:c>
      <x:c r="Q52" s="14" t="n">
        <x:f>IF(O52=0,0,P52/O52)</x:f>
        <x:v>0</x:v>
      </x:c>
      <x:c r="R52" s="13" t="str">
        <x:f>IF(O52=0,"Blocked: no tests",IF(P52&lt;O52,"Blocked: UAT",IF(AND(K52="Approved",LEN(L52)&gt;0,ISNUMBER(M52)),"Ready","Hold: approval")))</x:f>
        <x:v>Blocked: UAT</x:v>
      </x:c>
      <x:c r="S52" s="13" t="str">
        <x:f>IF(ISNUMBER(N52),IF(AND(N52&lt;Dashboard!$B$4,R52&lt;&gt;"Ready"),"Overdue","On track"),"No due date")</x:f>
        <x:v>No due date</x:v>
      </x:c>
    </x:row>
    <x:row r="53" ht="54" customHeight="1">
      <x:c r="A53" s="10" t="str">
        <x:v>CRM</x:v>
      </x:c>
      <x:c r="B53" s="10" t="str">
        <x:v>CRM-REQ-08</x:v>
      </x:c>
      <x:c r="C53" s="10" t="str">
        <x:v>Define CRM role controls</x:v>
      </x:c>
      <x:c r="D53" s="10" t="str">
        <x:v>What is the current open pipeline and weighted open pipeline, and what additional CRM fields are needed before forecasting timing or conversion?</x:v>
      </x:c>
      <x:c r="E53" s="10" t="str">
        <x:v>Must</x:v>
      </x:c>
      <x:c r="F53" s="10" t="str">
        <x:v>Sales Operations Manager</x:v>
      </x:c>
      <x:c r="G53" s="10" t="str">
        <x:v>Future role tests prevent unauthorized forecast edits; local CSV prototype does not enforce CRM roles.</x:v>
      </x:c>
      <x:c r="H53" s="10" t="str">
        <x:v>CRM-US-08</x:v>
      </x:c>
      <x:c r="I53" s="10" t="str">
        <x:v>Docs/07_BI_and_System_Design.md</x:v>
      </x:c>
      <x:c r="J53" s="10" t="str">
        <x:v>Design specified; implementation pending</x:v>
      </x:c>
      <x:c r="K53" s="11" t="str">
        <x:v>Pending</x:v>
      </x:c>
      <x:c r="L53" s="11" t="str"/>
      <x:c r="M53" s="12" t="str"/>
      <x:c r="N53" s="12" t="str"/>
      <x:c r="O53" s="13" t="n">
        <x:f>COUNTIFS(UAT!$C$6:$C$149,B53)</x:f>
        <x:v>3</x:v>
      </x:c>
      <x:c r="P53" s="13" t="n">
        <x:f>COUNTIFS(UAT!$C$6:$C$149,B53,UAT!$P$6:$P$149,"Ready")</x:f>
        <x:v>0</x:v>
      </x:c>
      <x:c r="Q53" s="14" t="n">
        <x:f>IF(O53=0,0,P53/O53)</x:f>
        <x:v>0</x:v>
      </x:c>
      <x:c r="R53" s="13" t="str">
        <x:f>IF(O53=0,"Blocked: no tests",IF(P53&lt;O53,"Blocked: UAT",IF(AND(K53="Approved",LEN(L53)&gt;0,ISNUMBER(M53)),"Ready","Hold: approval")))</x:f>
        <x:v>Blocked: UAT</x:v>
      </x:c>
      <x:c r="S53" s="13" t="str">
        <x:f>IF(ISNUMBER(N53),IF(AND(N53&lt;Dashboard!$B$4,R53&lt;&gt;"Ready"),"Overdue","On track"),"No due date")</x:f>
        <x:v>No due date</x:v>
      </x:c>
    </x:row>
  </x:sheetData>
  <x:conditionalFormatting sqref="R6:R53">
    <x:cfRule type="containsText" dxfId="12" priority="1" operator="containsText" text="Missing"/>
    <x:cfRule type="containsText" dxfId="13" priority="2" operator="containsText" text="Blocked"/>
    <x:cfRule type="containsText" dxfId="14" priority="3" operator="containsText" text="Overdue"/>
    <x:cfRule type="containsText" dxfId="15" priority="4" operator="containsText" text="Invalid"/>
    <x:cfRule type="containsText" dxfId="16" priority="5" operator="containsText" text="Hold"/>
    <x:cfRule type="containsText" dxfId="17" priority="6" operator="containsText" text="Ready"/>
  </x:conditionalFormatting>
  <x:conditionalFormatting sqref="S6:S53">
    <x:cfRule type="containsText" dxfId="18" priority="7" operator="containsText" text="Missing"/>
    <x:cfRule type="containsText" dxfId="19" priority="8" operator="containsText" text="Blocked"/>
    <x:cfRule type="containsText" dxfId="20" priority="9" operator="containsText" text="Overdue"/>
    <x:cfRule type="containsText" dxfId="21" priority="10" operator="containsText" text="Invalid"/>
    <x:cfRule type="containsText" dxfId="22" priority="11" operator="containsText" text="Hold"/>
    <x:cfRule type="containsText" dxfId="23" priority="12" operator="containsText" text="Ready"/>
  </x:conditionalFormatting>
  <x:dataValidations count="1">
    <x:dataValidation type="list" sqref="K6:K53">
      <x:formula1>"Pending,Submitted,Approved,Rejected,Needs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2199ad8c5747f2"/>
  </x:tableParts>
</x:worksheet>
</file>

<file path=xl/worksheets/sheet3.xml><?xml version="1.0" encoding="utf-8"?>
<x:worksheet xmlns:x="http://schemas.openxmlformats.org/spreadsheetml/2006/main">
  <x:sheetPr>
    <x:tabColor rgb="FF1833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0" hidden="0" customWidth="1"/>
    <x:col min="5" max="5" width="48" hidden="0" customWidth="1"/>
    <x:col min="6" max="6" width="60" hidden="0" customWidth="1"/>
    <x:col min="7" max="7" width="60" hidden="0" customWidth="1"/>
    <x:col min="8" max="8" width="22" hidden="0" customWidth="1"/>
    <x:col min="9" max="9" width="45" hidden="0" customWidth="1"/>
    <x:col min="10" max="10" width="35" hidden="0" customWidth="1"/>
    <x:col min="11" max="11" width="22" hidden="0" customWidth="1"/>
    <x:col min="12" max="12" width="18" hidden="0" customWidth="1"/>
    <x:col min="13" max="13" width="18" hidden="0" customWidth="1"/>
    <x:col min="14" max="14" width="22" hidden="0" customWidth="1"/>
    <x:col min="15" max="15" width="20" hidden="0" customWidth="1"/>
    <x:col min="16" max="16" width="25" hidden="0" customWidth="1"/>
    <x:col min="17" max="17" width="2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5" customHeight="1">
      <x:c r="A2" s="3" t="str">
        <x:v>Business acceptance execution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40" customHeight="1">
      <x:c r="A5" s="8" t="str">
        <x:v>Project</x:v>
      </x:c>
      <x:c r="B5" s="8" t="str">
        <x:v>Test ID</x:v>
      </x:c>
      <x:c r="C5" s="8" t="str">
        <x:v>Requirement ID</x:v>
      </x:c>
      <x:c r="D5" s="8" t="str">
        <x:v>Scenario</x:v>
      </x:c>
      <x:c r="E5" s="8" t="str">
        <x:v>Preconditions</x:v>
      </x:c>
      <x:c r="F5" s="8" t="str">
        <x:v>Steps</x:v>
      </x:c>
      <x:c r="G5" s="8" t="str">
        <x:v>Expected result</x:v>
      </x:c>
      <x:c r="H5" s="8" t="str">
        <x:v>Execution status</x:v>
      </x:c>
      <x:c r="I5" s="8" t="str">
        <x:v>Actual result</x:v>
      </x:c>
      <x:c r="J5" s="8" t="str">
        <x:v>Evidence location</x:v>
      </x:c>
      <x:c r="K5" s="8" t="str">
        <x:v>Tester</x:v>
      </x:c>
      <x:c r="L5" s="8" t="str">
        <x:v>Execution date</x:v>
      </x:c>
      <x:c r="M5" s="8" t="str">
        <x:v>Due date</x:v>
      </x:c>
      <x:c r="N5" s="8" t="str">
        <x:v>Defect ID</x:v>
      </x:c>
      <x:c r="O5" s="8" t="str">
        <x:v>Signoff</x:v>
      </x:c>
      <x:c r="P5" s="8" t="str">
        <x:v>Evidence gate</x:v>
      </x:c>
      <x:c r="Q5" s="8" t="str">
        <x:v>Overdue</x:v>
      </x:c>
    </x:row>
    <x:row r="6" ht="54" customHeight="1">
      <x:c r="A6" s="10" t="str">
        <x:v>MKT</x:v>
      </x:c>
      <x:c r="B6" s="10" t="str">
        <x:v>MKT-UAT-01-A</x:v>
      </x:c>
      <x:c r="C6" s="10" t="str">
        <x:v>MKT-REQ-01</x:v>
      </x:c>
      <x:c r="D6" s="10" t="str">
        <x:v>Acceptance</x:v>
      </x:c>
      <x:c r="E6" s="10" t="str">
        <x:v>Use a disposable fixture for changed data; supplied source stays immutable. Application tests require a configured environment.</x:v>
      </x:c>
      <x:c r="F6" s="10" t="str">
        <x:v>Review requirement MKT-REQ-01; load the unchanged supplied source; inspect Q01 result and independently recompute its control totals.</x:v>
      </x:c>
      <x:c r="G6" s="10" t="str">
        <x:v>Every source record has one source_row and the aggregate GMV reconciles within $0.01.</x:v>
      </x:c>
      <x:c r="H6" s="11" t="str">
        <x:v>Not executed</x:v>
      </x:c>
      <x:c r="I6" s="11" t="str"/>
      <x:c r="J6" s="11" t="str"/>
      <x:c r="K6" s="11" t="str"/>
      <x:c r="L6" s="12"/>
      <x:c r="M6" s="12"/>
      <x:c r="N6" s="11" t="str"/>
      <x:c r="O6" s="11" t="str">
        <x:v>Pending</x:v>
      </x:c>
      <x:c r="P6" s="13" t="str">
        <x:f>IF(H6&lt;&gt;"Passed","Pending",IF(AND(LEN(I6)&gt;0,LEN(J6)&gt;0,LEN(K6)&gt;0,ISNUMBER(L6)),"Ready","Missing evidence"))</x:f>
        <x:v>Pending</x:v>
      </x:c>
      <x:c r="Q6" s="13" t="str">
        <x:f>IF(ISNUMBER(M6),IF(AND(M6&lt;Dashboard!$B$4,P6&lt;&gt;"Ready"),"Overdue","On track"),"No due date")</x:f>
        <x:v>No due date</x:v>
      </x:c>
    </x:row>
    <x:row r="7" ht="68" customHeight="1">
      <x:c r="A7" s="10" t="str">
        <x:v>MKT</x:v>
      </x:c>
      <x:c r="B7" s="10" t="str">
        <x:v>MKT-UAT-01-B</x:v>
      </x:c>
      <x:c r="C7" s="10" t="str">
        <x:v>MKT-REQ-01</x:v>
      </x:c>
      <x:c r="D7" s="10" t="str">
        <x:v>Boundary / exception</x:v>
      </x:c>
      <x:c r="E7" s="10" t="str">
        <x:v>Use a disposable fixture for changed data; supplied source stays immutable. Application tests require a configured environment.</x:v>
      </x:c>
      <x:c r="F7" s="10" t="str">
        <x:v>Prepare a disposable case for this rule: Missing source columns stop ingestion; source rows are retained when no order business key exists. Re-run the applicable SQL or execute the control in the future configured application.</x:v>
      </x:c>
      <x:c r="G7" s="10" t="str">
        <x:v>Missing source columns stop ingestion; source rows are retained when no order business key exists.</x:v>
      </x:c>
      <x:c r="H7" s="11" t="str">
        <x:v>Not executed</x:v>
      </x:c>
      <x:c r="I7" s="11" t="str"/>
      <x:c r="J7" s="11" t="str"/>
      <x:c r="K7" s="11" t="str"/>
      <x:c r="L7" s="12"/>
      <x:c r="M7" s="12"/>
      <x:c r="N7" s="11" t="str"/>
      <x:c r="O7" s="11" t="str">
        <x:v>Pending</x:v>
      </x:c>
      <x:c r="P7" s="13" t="str">
        <x:f>IF(H7&lt;&gt;"Passed","Pending",IF(AND(LEN(I7)&gt;0,LEN(J7)&gt;0,LEN(K7)&gt;0,ISNUMBER(L7)),"Ready","Missing evidence"))</x:f>
        <x:v>Pending</x:v>
      </x:c>
      <x:c r="Q7" s="13" t="str">
        <x:f>IF(ISNUMBER(M7),IF(AND(M7&lt;Dashboard!$B$4,P7&lt;&gt;"Ready"),"Overdue","On track"),"No due date")</x:f>
        <x:v>No due date</x:v>
      </x:c>
    </x:row>
    <x:row r="8" ht="54" customHeight="1">
      <x:c r="A8" s="10" t="str">
        <x:v>MKT</x:v>
      </x:c>
      <x:c r="B8" s="10" t="str">
        <x:v>MKT-UAT-01-C</x:v>
      </x:c>
      <x:c r="C8" s="10" t="str">
        <x:v>MKT-REQ-01</x:v>
      </x:c>
      <x:c r="D8" s="10" t="str">
        <x:v>Business review</x:v>
      </x:c>
      <x:c r="E8" s="10" t="str">
        <x:v>Use a disposable fixture for changed data; supplied source stays immutable. Application tests require a configured environment.</x:v>
      </x:c>
      <x:c r="F8" s="10" t="str">
        <x:v>Ask the Marketplace Operations Manager to review the labels, scope, evidence, and recommendation against MKT-REQ-01.</x:v>
      </x:c>
      <x:c r="G8" s="10" t="str">
        <x:v>Owner records Approved / Rejected / Needs clarification with a reason and supporting evidence.</x:v>
      </x:c>
      <x:c r="H8" s="11" t="str">
        <x:v>Not executed</x:v>
      </x:c>
      <x:c r="I8" s="11" t="str"/>
      <x:c r="J8" s="11" t="str"/>
      <x:c r="K8" s="11" t="str"/>
      <x:c r="L8" s="12"/>
      <x:c r="M8" s="12"/>
      <x:c r="N8" s="11" t="str"/>
      <x:c r="O8" s="11" t="str">
        <x:v>Pending</x:v>
      </x:c>
      <x:c r="P8" s="13" t="str">
        <x:f>IF(H8&lt;&gt;"Passed","Pending",IF(AND(LEN(I8)&gt;0,LEN(J8)&gt;0,LEN(K8)&gt;0,ISNUMBER(L8)),"Ready","Missing evidence"))</x:f>
        <x:v>Pending</x:v>
      </x:c>
      <x:c r="Q8" s="13" t="str">
        <x:f>IF(ISNUMBER(M8),IF(AND(M8&lt;Dashboard!$B$4,P8&lt;&gt;"Ready"),"Overdue","On track"),"No due date")</x:f>
        <x:v>No due date</x:v>
      </x:c>
    </x:row>
    <x:row r="9" ht="54" customHeight="1">
      <x:c r="A9" s="10" t="str">
        <x:v>MKT</x:v>
      </x:c>
      <x:c r="B9" s="10" t="str">
        <x:v>MKT-UAT-02-A</x:v>
      </x:c>
      <x:c r="C9" s="10" t="str">
        <x:v>MKT-REQ-02</x:v>
      </x:c>
      <x:c r="D9" s="10" t="str">
        <x:v>Acceptance</x:v>
      </x:c>
      <x:c r="E9" s="10" t="str">
        <x:v>Use a disposable fixture for changed data; supplied source stays immutable. Application tests require a configured environment.</x:v>
      </x:c>
      <x:c r="F9" s="10" t="str">
        <x:v>Review requirement MKT-REQ-02; load the unchanged supplied source; inspect Q01 result and independently recompute its control totals.</x:v>
      </x:c>
      <x:c r="G9" s="10" t="str">
        <x:v>Portfolio totals match Q01 and neither measure is described as profit.</x:v>
      </x:c>
      <x:c r="H9" s="11" t="str">
        <x:v>Not executed</x:v>
      </x:c>
      <x:c r="I9" s="11" t="str"/>
      <x:c r="J9" s="11" t="str"/>
      <x:c r="K9" s="11" t="str"/>
      <x:c r="L9" s="12" t="str"/>
      <x:c r="M9" s="12" t="str"/>
      <x:c r="N9" s="11" t="str"/>
      <x:c r="O9" s="11" t="str">
        <x:v>Pending</x:v>
      </x:c>
      <x:c r="P9" s="13" t="str">
        <x:f>IF(H9&lt;&gt;"Passed","Pending",IF(AND(LEN(I9)&gt;0,LEN(J9)&gt;0,LEN(K9)&gt;0,ISNUMBER(L9)),"Ready","Missing evidence"))</x:f>
        <x:v>Pending</x:v>
      </x:c>
      <x:c r="Q9" s="13" t="str">
        <x:f>IF(ISNUMBER(M9),IF(AND(M9&lt;Dashboard!$B$4,P9&lt;&gt;"Ready"),"Overdue","On track"),"No due date")</x:f>
        <x:v>No due date</x:v>
      </x:c>
    </x:row>
    <x:row r="10" ht="68" customHeight="1">
      <x:c r="A10" s="10" t="str">
        <x:v>MKT</x:v>
      </x:c>
      <x:c r="B10" s="10" t="str">
        <x:v>MKT-UAT-02-B</x:v>
      </x:c>
      <x:c r="C10" s="10" t="str">
        <x:v>MKT-REQ-02</x:v>
      </x:c>
      <x:c r="D10" s="10" t="str">
        <x:v>Boundary / exception</x:v>
      </x:c>
      <x:c r="E10" s="10" t="str">
        <x:v>Use a disposable fixture for changed data; supplied source stays immutable. Application tests require a configured environment.</x:v>
      </x:c>
      <x:c r="F10" s="10" t="str">
        <x:v>Prepare a disposable case for this rule: GMV and platform revenue must remain separate even when both are positive. Re-run the applicable SQL or execute the control in the future configured application.</x:v>
      </x:c>
      <x:c r="G10" s="10" t="str">
        <x:v>GMV and platform revenue must remain separate even when both are positive.</x:v>
      </x:c>
      <x:c r="H10" s="11" t="str">
        <x:v>Not executed</x:v>
      </x:c>
      <x:c r="I10" s="11" t="str"/>
      <x:c r="J10" s="11" t="str"/>
      <x:c r="K10" s="11" t="str"/>
      <x:c r="L10" s="12" t="str"/>
      <x:c r="M10" s="12" t="str"/>
      <x:c r="N10" s="11" t="str"/>
      <x:c r="O10" s="11" t="str">
        <x:v>Pending</x:v>
      </x:c>
      <x:c r="P10" s="13" t="str">
        <x:f>IF(H10&lt;&gt;"Passed","Pending",IF(AND(LEN(I10)&gt;0,LEN(J10)&gt;0,LEN(K10)&gt;0,ISNUMBER(L10)),"Ready","Missing evidence"))</x:f>
        <x:v>Pending</x:v>
      </x:c>
      <x:c r="Q10" s="13" t="str">
        <x:f>IF(ISNUMBER(M10),IF(AND(M10&lt;Dashboard!$B$4,P10&lt;&gt;"Ready"),"Overdue","On track"),"No due date")</x:f>
        <x:v>No due date</x:v>
      </x:c>
    </x:row>
    <x:row r="11" ht="54" customHeight="1">
      <x:c r="A11" s="10" t="str">
        <x:v>MKT</x:v>
      </x:c>
      <x:c r="B11" s="10" t="str">
        <x:v>MKT-UAT-02-C</x:v>
      </x:c>
      <x:c r="C11" s="10" t="str">
        <x:v>MKT-REQ-02</x:v>
      </x:c>
      <x:c r="D11" s="10" t="str">
        <x:v>Business review</x:v>
      </x:c>
      <x:c r="E11" s="10" t="str">
        <x:v>Use a disposable fixture for changed data; supplied source stays immutable. Application tests require a configured environment.</x:v>
      </x:c>
      <x:c r="F11" s="10" t="str">
        <x:v>Ask the Marketplace Operations Manager to review the labels, scope, evidence, and recommendation against MKT-REQ-02.</x:v>
      </x:c>
      <x:c r="G11" s="10" t="str">
        <x:v>Owner records Approved / Rejected / Needs clarification with a reason and supporting evidence.</x:v>
      </x:c>
      <x:c r="H11" s="11" t="str">
        <x:v>Not executed</x:v>
      </x:c>
      <x:c r="I11" s="11" t="str"/>
      <x:c r="J11" s="11" t="str"/>
      <x:c r="K11" s="11" t="str"/>
      <x:c r="L11" s="12" t="str"/>
      <x:c r="M11" s="12" t="str"/>
      <x:c r="N11" s="11" t="str"/>
      <x:c r="O11" s="11" t="str">
        <x:v>Pending</x:v>
      </x:c>
      <x:c r="P11" s="13" t="str">
        <x:f>IF(H11&lt;&gt;"Passed","Pending",IF(AND(LEN(I11)&gt;0,LEN(J11)&gt;0,LEN(K11)&gt;0,ISNUMBER(L11)),"Ready","Missing evidence"))</x:f>
        <x:v>Pending</x:v>
      </x:c>
      <x:c r="Q11" s="13" t="str">
        <x:f>IF(ISNUMBER(M11),IF(AND(M11&lt;Dashboard!$B$4,P11&lt;&gt;"Ready"),"Overdue","On track"),"No due date")</x:f>
        <x:v>No due date</x:v>
      </x:c>
    </x:row>
    <x:row r="12" ht="54" customHeight="1">
      <x:c r="A12" s="10" t="str">
        <x:v>MKT</x:v>
      </x:c>
      <x:c r="B12" s="10" t="str">
        <x:v>MKT-UAT-03-A</x:v>
      </x:c>
      <x:c r="C12" s="10" t="str">
        <x:v>MKT-REQ-03</x:v>
      </x:c>
      <x:c r="D12" s="10" t="str">
        <x:v>Acceptance</x:v>
      </x:c>
      <x:c r="E12" s="10" t="str">
        <x:v>Use a disposable fixture for changed data; supplied source stays immutable. Application tests require a configured environment.</x:v>
      </x:c>
      <x:c r="F12" s="10" t="str">
        <x:v>Review requirement MKT-REQ-03; load the unchanged supplied source; inspect Q02 result and independently recompute its control totals.</x:v>
      </x:c>
      <x:c r="G12" s="10" t="str">
        <x:v>A two-row fixture with unequal GMV produces the ratio of sums; zero GMV returns null.</x:v>
      </x:c>
      <x:c r="H12" s="11" t="str">
        <x:v>Not executed</x:v>
      </x:c>
      <x:c r="I12" s="11" t="str"/>
      <x:c r="J12" s="11" t="str"/>
      <x:c r="K12" s="11" t="str"/>
      <x:c r="L12" s="12" t="str"/>
      <x:c r="M12" s="12" t="str"/>
      <x:c r="N12" s="11" t="str"/>
      <x:c r="O12" s="11" t="str">
        <x:v>Pending</x:v>
      </x:c>
      <x:c r="P12" s="13" t="str">
        <x:f>IF(H12&lt;&gt;"Passed","Pending",IF(AND(LEN(I12)&gt;0,LEN(J12)&gt;0,LEN(K12)&gt;0,ISNUMBER(L12)),"Ready","Missing evidence"))</x:f>
        <x:v>Pending</x:v>
      </x:c>
      <x:c r="Q12" s="13" t="str">
        <x:f>IF(ISNUMBER(M12),IF(AND(M12&lt;Dashboard!$B$4,P12&lt;&gt;"Ready"),"Overdue","On track"),"No due date")</x:f>
        <x:v>No due date</x:v>
      </x:c>
    </x:row>
    <x:row r="13" ht="68" customHeight="1">
      <x:c r="A13" s="10" t="str">
        <x:v>MKT</x:v>
      </x:c>
      <x:c r="B13" s="10" t="str">
        <x:v>MKT-UAT-03-B</x:v>
      </x:c>
      <x:c r="C13" s="10" t="str">
        <x:v>MKT-REQ-03</x:v>
      </x:c>
      <x:c r="D13" s="10" t="str">
        <x:v>Boundary / exception</x:v>
      </x:c>
      <x:c r="E13" s="10" t="str">
        <x:v>Use a disposable fixture for changed data; supplied source stays immutable. Application tests require a configured environment.</x:v>
      </x:c>
      <x:c r="F13" s="10" t="str">
        <x:v>Prepare a disposable case for this rule: Unequal GMV weights must not become an average of row take rates; zero GMV returns null. Re-run the applicable SQL or execute the control in the future configured application.</x:v>
      </x:c>
      <x:c r="G13" s="10" t="str">
        <x:v>Unequal GMV weights must not become an average of row take rates; zero GMV returns null.</x:v>
      </x:c>
      <x:c r="H13" s="11" t="str">
        <x:v>Not executed</x:v>
      </x:c>
      <x:c r="I13" s="11" t="str"/>
      <x:c r="J13" s="11" t="str"/>
      <x:c r="K13" s="11" t="str"/>
      <x:c r="L13" s="12" t="str"/>
      <x:c r="M13" s="12" t="str"/>
      <x:c r="N13" s="11" t="str"/>
      <x:c r="O13" s="11" t="str">
        <x:v>Pending</x:v>
      </x:c>
      <x:c r="P13" s="13" t="str">
        <x:f>IF(H13&lt;&gt;"Passed","Pending",IF(AND(LEN(I13)&gt;0,LEN(J13)&gt;0,LEN(K13)&gt;0,ISNUMBER(L13)),"Ready","Missing evidence"))</x:f>
        <x:v>Pending</x:v>
      </x:c>
      <x:c r="Q13" s="13" t="str">
        <x:f>IF(ISNUMBER(M13),IF(AND(M13&lt;Dashboard!$B$4,P13&lt;&gt;"Ready"),"Overdue","On track"),"No due date")</x:f>
        <x:v>No due date</x:v>
      </x:c>
    </x:row>
    <x:row r="14" ht="54" customHeight="1">
      <x:c r="A14" s="10" t="str">
        <x:v>MKT</x:v>
      </x:c>
      <x:c r="B14" s="10" t="str">
        <x:v>MKT-UAT-03-C</x:v>
      </x:c>
      <x:c r="C14" s="10" t="str">
        <x:v>MKT-REQ-03</x:v>
      </x:c>
      <x:c r="D14" s="10" t="str">
        <x:v>Business review</x:v>
      </x:c>
      <x:c r="E14" s="10" t="str">
        <x:v>Use a disposable fixture for changed data; supplied source stays immutable. Application tests require a configured environment.</x:v>
      </x:c>
      <x:c r="F14" s="10" t="str">
        <x:v>Ask the Marketplace Operations Manager to review the labels, scope, evidence, and recommendation against MKT-REQ-03.</x:v>
      </x:c>
      <x:c r="G14" s="10" t="str">
        <x:v>Owner records Approved / Rejected / Needs clarification with a reason and supporting evidence.</x:v>
      </x:c>
      <x:c r="H14" s="11" t="str">
        <x:v>Not executed</x:v>
      </x:c>
      <x:c r="I14" s="11" t="str"/>
      <x:c r="J14" s="11" t="str"/>
      <x:c r="K14" s="11" t="str"/>
      <x:c r="L14" s="12" t="str"/>
      <x:c r="M14" s="12" t="str"/>
      <x:c r="N14" s="11" t="str"/>
      <x:c r="O14" s="11" t="str">
        <x:v>Pending</x:v>
      </x:c>
      <x:c r="P14" s="13" t="str">
        <x:f>IF(H14&lt;&gt;"Passed","Pending",IF(AND(LEN(I14)&gt;0,LEN(J14)&gt;0,LEN(K14)&gt;0,ISNUMBER(L14)),"Ready","Missing evidence"))</x:f>
        <x:v>Pending</x:v>
      </x:c>
      <x:c r="Q14" s="13" t="str">
        <x:f>IF(ISNUMBER(M14),IF(AND(M14&lt;Dashboard!$B$4,P14&lt;&gt;"Ready"),"Overdue","On track"),"No due date")</x:f>
        <x:v>No due date</x:v>
      </x:c>
    </x:row>
    <x:row r="15" ht="54" customHeight="1">
      <x:c r="A15" s="10" t="str">
        <x:v>MKT</x:v>
      </x:c>
      <x:c r="B15" s="10" t="str">
        <x:v>MKT-UAT-04-A</x:v>
      </x:c>
      <x:c r="C15" s="10" t="str">
        <x:v>MKT-REQ-04</x:v>
      </x:c>
      <x:c r="D15" s="10" t="str">
        <x:v>Acceptance</x:v>
      </x:c>
      <x:c r="E15" s="10" t="str">
        <x:v>Use a disposable fixture for changed data; supplied source stays immutable. Application tests require a configured environment.</x:v>
      </x:c>
      <x:c r="F15" s="10" t="str">
        <x:v>Review requirement MKT-REQ-04; load the unchanged supplied source; inspect Q03 result and independently recompute its control totals.</x:v>
      </x:c>
      <x:c r="G15" s="10" t="str">
        <x:v>Seller GMV sums to the portfolio GMV; all shares sum to 1 within tolerance.</x:v>
      </x:c>
      <x:c r="H15" s="11" t="str">
        <x:v>Not executed</x:v>
      </x:c>
      <x:c r="I15" s="11" t="str"/>
      <x:c r="J15" s="11" t="str"/>
      <x:c r="K15" s="11" t="str"/>
      <x:c r="L15" s="12" t="str"/>
      <x:c r="M15" s="12" t="str"/>
      <x:c r="N15" s="11" t="str"/>
      <x:c r="O15" s="11" t="str">
        <x:v>Pending</x:v>
      </x:c>
      <x:c r="P15" s="13" t="str">
        <x:f>IF(H15&lt;&gt;"Passed","Pending",IF(AND(LEN(I15)&gt;0,LEN(J15)&gt;0,LEN(K15)&gt;0,ISNUMBER(L15)),"Ready","Missing evidence"))</x:f>
        <x:v>Pending</x:v>
      </x:c>
      <x:c r="Q15" s="13" t="str">
        <x:f>IF(ISNUMBER(M15),IF(AND(M15&lt;Dashboard!$B$4,P15&lt;&gt;"Ready"),"Overdue","On track"),"No due date")</x:f>
        <x:v>No due date</x:v>
      </x:c>
    </x:row>
    <x:row r="16" ht="68" customHeight="1">
      <x:c r="A16" s="10" t="str">
        <x:v>MKT</x:v>
      </x:c>
      <x:c r="B16" s="10" t="str">
        <x:v>MKT-UAT-04-B</x:v>
      </x:c>
      <x:c r="C16" s="10" t="str">
        <x:v>MKT-REQ-04</x:v>
      </x:c>
      <x:c r="D16" s="10" t="str">
        <x:v>Boundary / exception</x:v>
      </x:c>
      <x:c r="E16" s="10" t="str">
        <x:v>Use a disposable fixture for changed data; supplied source stays immutable. Application tests require a configured environment.</x:v>
      </x:c>
      <x:c r="F16" s="10" t="str">
        <x:v>Prepare a disposable case for this rule: A seller with zero GMV has undefined share/rate where its denominator is zero. Re-run the applicable SQL or execute the control in the future configured application.</x:v>
      </x:c>
      <x:c r="G16" s="10" t="str">
        <x:v>A seller with zero GMV has undefined share/rate where its denominator is zero.</x:v>
      </x:c>
      <x:c r="H16" s="11" t="str">
        <x:v>Not executed</x:v>
      </x:c>
      <x:c r="I16" s="11" t="str"/>
      <x:c r="J16" s="11" t="str"/>
      <x:c r="K16" s="11" t="str"/>
      <x:c r="L16" s="12" t="str"/>
      <x:c r="M16" s="12" t="str"/>
      <x:c r="N16" s="11" t="str"/>
      <x:c r="O16" s="11" t="str">
        <x:v>Pending</x:v>
      </x:c>
      <x:c r="P16" s="13" t="str">
        <x:f>IF(H16&lt;&gt;"Passed","Pending",IF(AND(LEN(I16)&gt;0,LEN(J16)&gt;0,LEN(K16)&gt;0,ISNUMBER(L16)),"Ready","Missing evidence"))</x:f>
        <x:v>Pending</x:v>
      </x:c>
      <x:c r="Q16" s="13" t="str">
        <x:f>IF(ISNUMBER(M16),IF(AND(M16&lt;Dashboard!$B$4,P16&lt;&gt;"Ready"),"Overdue","On track"),"No due date")</x:f>
        <x:v>No due date</x:v>
      </x:c>
    </x:row>
    <x:row r="17" ht="54" customHeight="1">
      <x:c r="A17" s="10" t="str">
        <x:v>MKT</x:v>
      </x:c>
      <x:c r="B17" s="10" t="str">
        <x:v>MKT-UAT-04-C</x:v>
      </x:c>
      <x:c r="C17" s="10" t="str">
        <x:v>MKT-REQ-04</x:v>
      </x:c>
      <x:c r="D17" s="10" t="str">
        <x:v>Business review</x:v>
      </x:c>
      <x:c r="E17" s="10" t="str">
        <x:v>Use a disposable fixture for changed data; supplied source stays immutable. Application tests require a configured environment.</x:v>
      </x:c>
      <x:c r="F17" s="10" t="str">
        <x:v>Ask the Marketplace Operations Manager to review the labels, scope, evidence, and recommendation against MKT-REQ-04.</x:v>
      </x:c>
      <x:c r="G17" s="10" t="str">
        <x:v>Owner records Approved / Rejected / Needs clarification with a reason and supporting evidence.</x:v>
      </x:c>
      <x:c r="H17" s="11" t="str">
        <x:v>Not executed</x:v>
      </x:c>
      <x:c r="I17" s="11" t="str"/>
      <x:c r="J17" s="11" t="str"/>
      <x:c r="K17" s="11" t="str"/>
      <x:c r="L17" s="12" t="str"/>
      <x:c r="M17" s="12" t="str"/>
      <x:c r="N17" s="11" t="str"/>
      <x:c r="O17" s="11" t="str">
        <x:v>Pending</x:v>
      </x:c>
      <x:c r="P17" s="13" t="str">
        <x:f>IF(H17&lt;&gt;"Passed","Pending",IF(AND(LEN(I17)&gt;0,LEN(J17)&gt;0,LEN(K17)&gt;0,ISNUMBER(L17)),"Ready","Missing evidence"))</x:f>
        <x:v>Pending</x:v>
      </x:c>
      <x:c r="Q17" s="13" t="str">
        <x:f>IF(ISNUMBER(M17),IF(AND(M17&lt;Dashboard!$B$4,P17&lt;&gt;"Ready"),"Overdue","On track"),"No due date")</x:f>
        <x:v>No due date</x:v>
      </x:c>
    </x:row>
    <x:row r="18" ht="54" customHeight="1">
      <x:c r="A18" s="10" t="str">
        <x:v>MKT</x:v>
      </x:c>
      <x:c r="B18" s="10" t="str">
        <x:v>MKT-UAT-05-A</x:v>
      </x:c>
      <x:c r="C18" s="10" t="str">
        <x:v>MKT-REQ-05</x:v>
      </x:c>
      <x:c r="D18" s="10" t="str">
        <x:v>Acceptance</x:v>
      </x:c>
      <x:c r="E18" s="10" t="str">
        <x:v>Use a disposable fixture for changed data; supplied source stays immutable. Application tests require a configured environment.</x:v>
      </x:c>
      <x:c r="F18" s="10" t="str">
        <x:v>Review requirement MKT-REQ-05; load the unchanged supplied source; inspect Q04 result and independently recompute its control totals.</x:v>
      </x:c>
      <x:c r="G18" s="10" t="str">
        <x:v>Cumulative share is nondecreasing and the final row reaches 1.</x:v>
      </x:c>
      <x:c r="H18" s="11" t="str">
        <x:v>Not executed</x:v>
      </x:c>
      <x:c r="I18" s="11" t="str"/>
      <x:c r="J18" s="11" t="str"/>
      <x:c r="K18" s="11" t="str"/>
      <x:c r="L18" s="12" t="str"/>
      <x:c r="M18" s="12" t="str"/>
      <x:c r="N18" s="11" t="str"/>
      <x:c r="O18" s="11" t="str">
        <x:v>Pending</x:v>
      </x:c>
      <x:c r="P18" s="13" t="str">
        <x:f>IF(H18&lt;&gt;"Passed","Pending",IF(AND(LEN(I18)&gt;0,LEN(J18)&gt;0,LEN(K18)&gt;0,ISNUMBER(L18)),"Ready","Missing evidence"))</x:f>
        <x:v>Pending</x:v>
      </x:c>
      <x:c r="Q18" s="13" t="str">
        <x:f>IF(ISNUMBER(M18),IF(AND(M18&lt;Dashboard!$B$4,P18&lt;&gt;"Ready"),"Overdue","On track"),"No due date")</x:f>
        <x:v>No due date</x:v>
      </x:c>
    </x:row>
    <x:row r="19" ht="68" customHeight="1">
      <x:c r="A19" s="10" t="str">
        <x:v>MKT</x:v>
      </x:c>
      <x:c r="B19" s="10" t="str">
        <x:v>MKT-UAT-05-B</x:v>
      </x:c>
      <x:c r="C19" s="10" t="str">
        <x:v>MKT-REQ-05</x:v>
      </x:c>
      <x:c r="D19" s="10" t="str">
        <x:v>Boundary / exception</x:v>
      </x:c>
      <x:c r="E19" s="10" t="str">
        <x:v>Use a disposable fixture for changed data; supplied source stays immutable. Application tests require a configured environment.</x:v>
      </x:c>
      <x:c r="F19" s="10" t="str">
        <x:v>Prepare a disposable case for this rule: Ties sort by product_id; the final cumulative share reaches 1 when total GMV is positive. Re-run the applicable SQL or execute the control in the future configured application.</x:v>
      </x:c>
      <x:c r="G19" s="10" t="str">
        <x:v>Ties sort by product_id; the final cumulative share reaches 1 when total GMV is positive.</x:v>
      </x:c>
      <x:c r="H19" s="11" t="str">
        <x:v>Not executed</x:v>
      </x:c>
      <x:c r="I19" s="11" t="str"/>
      <x:c r="J19" s="11" t="str"/>
      <x:c r="K19" s="11" t="str"/>
      <x:c r="L19" s="12" t="str"/>
      <x:c r="M19" s="12" t="str"/>
      <x:c r="N19" s="11" t="str"/>
      <x:c r="O19" s="11" t="str">
        <x:v>Pending</x:v>
      </x:c>
      <x:c r="P19" s="13" t="str">
        <x:f>IF(H19&lt;&gt;"Passed","Pending",IF(AND(LEN(I19)&gt;0,LEN(J19)&gt;0,LEN(K19)&gt;0,ISNUMBER(L19)),"Ready","Missing evidence"))</x:f>
        <x:v>Pending</x:v>
      </x:c>
      <x:c r="Q19" s="13" t="str">
        <x:f>IF(ISNUMBER(M19),IF(AND(M19&lt;Dashboard!$B$4,P19&lt;&gt;"Ready"),"Overdue","On track"),"No due date")</x:f>
        <x:v>No due date</x:v>
      </x:c>
    </x:row>
    <x:row r="20" ht="54" customHeight="1">
      <x:c r="A20" s="10" t="str">
        <x:v>MKT</x:v>
      </x:c>
      <x:c r="B20" s="10" t="str">
        <x:v>MKT-UAT-05-C</x:v>
      </x:c>
      <x:c r="C20" s="10" t="str">
        <x:v>MKT-REQ-05</x:v>
      </x:c>
      <x:c r="D20" s="10" t="str">
        <x:v>Business review</x:v>
      </x:c>
      <x:c r="E20" s="10" t="str">
        <x:v>Use a disposable fixture for changed data; supplied source stays immutable. Application tests require a configured environment.</x:v>
      </x:c>
      <x:c r="F20" s="10" t="str">
        <x:v>Ask the Marketplace Operations Manager to review the labels, scope, evidence, and recommendation against MKT-REQ-05.</x:v>
      </x:c>
      <x:c r="G20" s="10" t="str">
        <x:v>Owner records Approved / Rejected / Needs clarification with a reason and supporting evidence.</x:v>
      </x:c>
      <x:c r="H20" s="11" t="str">
        <x:v>Not executed</x:v>
      </x:c>
      <x:c r="I20" s="11" t="str"/>
      <x:c r="J20" s="11" t="str"/>
      <x:c r="K20" s="11" t="str"/>
      <x:c r="L20" s="12" t="str"/>
      <x:c r="M20" s="12" t="str"/>
      <x:c r="N20" s="11" t="str"/>
      <x:c r="O20" s="11" t="str">
        <x:v>Pending</x:v>
      </x:c>
      <x:c r="P20" s="13" t="str">
        <x:f>IF(H20&lt;&gt;"Passed","Pending",IF(AND(LEN(I20)&gt;0,LEN(J20)&gt;0,LEN(K20)&gt;0,ISNUMBER(L20)),"Ready","Missing evidence"))</x:f>
        <x:v>Pending</x:v>
      </x:c>
      <x:c r="Q20" s="13" t="str">
        <x:f>IF(ISNUMBER(M20),IF(AND(M20&lt;Dashboard!$B$4,P20&lt;&gt;"Ready"),"Overdue","On track"),"No due date")</x:f>
        <x:v>No due date</x:v>
      </x:c>
    </x:row>
    <x:row r="21" ht="54" customHeight="1">
      <x:c r="A21" s="10" t="str">
        <x:v>MKT</x:v>
      </x:c>
      <x:c r="B21" s="10" t="str">
        <x:v>MKT-UAT-06-A</x:v>
      </x:c>
      <x:c r="C21" s="10" t="str">
        <x:v>MKT-REQ-06</x:v>
      </x:c>
      <x:c r="D21" s="10" t="str">
        <x:v>Acceptance</x:v>
      </x:c>
      <x:c r="E21" s="10" t="str">
        <x:v>Use a disposable fixture for changed data; supplied source stays immutable. Application tests require a configured environment.</x:v>
      </x:c>
      <x:c r="F21" s="10" t="str">
        <x:v>Review requirement MKT-REQ-06; load the unchanged supplied source; inspect Q02 result and independently recompute its control totals.</x:v>
      </x:c>
      <x:c r="G21" s="10" t="str">
        <x:v>First month has no prior comparison; months sort chronologically.</x:v>
      </x:c>
      <x:c r="H21" s="11" t="str">
        <x:v>Not executed</x:v>
      </x:c>
      <x:c r="I21" s="11" t="str"/>
      <x:c r="J21" s="11" t="str"/>
      <x:c r="K21" s="11" t="str"/>
      <x:c r="L21" s="12" t="str"/>
      <x:c r="M21" s="12" t="str"/>
      <x:c r="N21" s="11" t="str"/>
      <x:c r="O21" s="11" t="str">
        <x:v>Pending</x:v>
      </x:c>
      <x:c r="P21" s="13" t="str">
        <x:f>IF(H21&lt;&gt;"Passed","Pending",IF(AND(LEN(I21)&gt;0,LEN(J21)&gt;0,LEN(K21)&gt;0,ISNUMBER(L21)),"Ready","Missing evidence"))</x:f>
        <x:v>Pending</x:v>
      </x:c>
      <x:c r="Q21" s="13" t="str">
        <x:f>IF(ISNUMBER(M21),IF(AND(M21&lt;Dashboard!$B$4,P21&lt;&gt;"Ready"),"Overdue","On track"),"No due date")</x:f>
        <x:v>No due date</x:v>
      </x:c>
    </x:row>
    <x:row r="22" ht="68" customHeight="1">
      <x:c r="A22" s="10" t="str">
        <x:v>MKT</x:v>
      </x:c>
      <x:c r="B22" s="10" t="str">
        <x:v>MKT-UAT-06-B</x:v>
      </x:c>
      <x:c r="C22" s="10" t="str">
        <x:v>MKT-REQ-06</x:v>
      </x:c>
      <x:c r="D22" s="10" t="str">
        <x:v>Boundary / exception</x:v>
      </x:c>
      <x:c r="E22" s="10" t="str">
        <x:v>Use a disposable fixture for changed data; supplied source stays immutable. Application tests require a configured environment.</x:v>
      </x:c>
      <x:c r="F22" s="10" t="str">
        <x:v>Prepare a disposable case for this rule: First month has no change; production comparisons require adjacent months and complete coverage. Re-run the applicable SQL or execute the control in the future configured application.</x:v>
      </x:c>
      <x:c r="G22" s="10" t="str">
        <x:v>First month has no change; production comparisons require adjacent months and complete coverage.</x:v>
      </x:c>
      <x:c r="H22" s="11" t="str">
        <x:v>Not executed</x:v>
      </x:c>
      <x:c r="I22" s="11" t="str"/>
      <x:c r="J22" s="11" t="str"/>
      <x:c r="K22" s="11" t="str"/>
      <x:c r="L22" s="12" t="str"/>
      <x:c r="M22" s="12" t="str"/>
      <x:c r="N22" s="11" t="str"/>
      <x:c r="O22" s="11" t="str">
        <x:v>Pending</x:v>
      </x:c>
      <x:c r="P22" s="13" t="str">
        <x:f>IF(H22&lt;&gt;"Passed","Pending",IF(AND(LEN(I22)&gt;0,LEN(J22)&gt;0,LEN(K22)&gt;0,ISNUMBER(L22)),"Ready","Missing evidence"))</x:f>
        <x:v>Pending</x:v>
      </x:c>
      <x:c r="Q22" s="13" t="str">
        <x:f>IF(ISNUMBER(M22),IF(AND(M22&lt;Dashboard!$B$4,P22&lt;&gt;"Ready"),"Overdue","On track"),"No due date")</x:f>
        <x:v>No due date</x:v>
      </x:c>
    </x:row>
    <x:row r="23" ht="54" customHeight="1">
      <x:c r="A23" s="10" t="str">
        <x:v>MKT</x:v>
      </x:c>
      <x:c r="B23" s="10" t="str">
        <x:v>MKT-UAT-06-C</x:v>
      </x:c>
      <x:c r="C23" s="10" t="str">
        <x:v>MKT-REQ-06</x:v>
      </x:c>
      <x:c r="D23" s="10" t="str">
        <x:v>Business review</x:v>
      </x:c>
      <x:c r="E23" s="10" t="str">
        <x:v>Use a disposable fixture for changed data; supplied source stays immutable. Application tests require a configured environment.</x:v>
      </x:c>
      <x:c r="F23" s="10" t="str">
        <x:v>Ask the Marketplace Operations Manager to review the labels, scope, evidence, and recommendation against MKT-REQ-06.</x:v>
      </x:c>
      <x:c r="G23" s="10" t="str">
        <x:v>Owner records Approved / Rejected / Needs clarification with a reason and supporting evidence.</x:v>
      </x:c>
      <x:c r="H23" s="11" t="str">
        <x:v>Not executed</x:v>
      </x:c>
      <x:c r="I23" s="11" t="str"/>
      <x:c r="J23" s="11" t="str"/>
      <x:c r="K23" s="11" t="str"/>
      <x:c r="L23" s="12" t="str"/>
      <x:c r="M23" s="12" t="str"/>
      <x:c r="N23" s="11" t="str"/>
      <x:c r="O23" s="11" t="str">
        <x:v>Pending</x:v>
      </x:c>
      <x:c r="P23" s="13" t="str">
        <x:f>IF(H23&lt;&gt;"Passed","Pending",IF(AND(LEN(I23)&gt;0,LEN(J23)&gt;0,LEN(K23)&gt;0,ISNUMBER(L23)),"Ready","Missing evidence"))</x:f>
        <x:v>Pending</x:v>
      </x:c>
      <x:c r="Q23" s="13" t="str">
        <x:f>IF(ISNUMBER(M23),IF(AND(M23&lt;Dashboard!$B$4,P23&lt;&gt;"Ready"),"Overdue","On track"),"No due date")</x:f>
        <x:v>No due date</x:v>
      </x:c>
    </x:row>
    <x:row r="24" ht="54" customHeight="1">
      <x:c r="A24" s="10" t="str">
        <x:v>MKT</x:v>
      </x:c>
      <x:c r="B24" s="10" t="str">
        <x:v>MKT-UAT-07-A</x:v>
      </x:c>
      <x:c r="C24" s="10" t="str">
        <x:v>MKT-REQ-07</x:v>
      </x:c>
      <x:c r="D24" s="10" t="str">
        <x:v>Acceptance</x:v>
      </x:c>
      <x:c r="E24" s="10" t="str">
        <x:v>Use a disposable fixture for changed data; supplied source stays immutable. Application tests require a configured environment.</x:v>
      </x:c>
      <x:c r="F24" s="10" t="str">
        <x:v>Review requirement MKT-REQ-07; load the unchanged supplied source; inspect the proposed control and execute it in a future configured application.</x:v>
      </x:c>
      <x:c r="G24" s="10" t="str">
        <x:v>A future role test denies viewer export and records an audit event; current CSV prototype is local only.</x:v>
      </x:c>
      <x:c r="H24" s="11" t="str">
        <x:v>Not executed</x:v>
      </x:c>
      <x:c r="I24" s="11" t="str"/>
      <x:c r="J24" s="11" t="str"/>
      <x:c r="K24" s="11" t="str"/>
      <x:c r="L24" s="12" t="str"/>
      <x:c r="M24" s="12" t="str"/>
      <x:c r="N24" s="11" t="str"/>
      <x:c r="O24" s="11" t="str">
        <x:v>Pending</x:v>
      </x:c>
      <x:c r="P24" s="13" t="str">
        <x:f>IF(H24&lt;&gt;"Passed","Pending",IF(AND(LEN(I24)&gt;0,LEN(J24)&gt;0,LEN(K24)&gt;0,ISNUMBER(L24)),"Ready","Missing evidence"))</x:f>
        <x:v>Pending</x:v>
      </x:c>
      <x:c r="Q24" s="13" t="str">
        <x:f>IF(ISNUMBER(M24),IF(AND(M24&lt;Dashboard!$B$4,P24&lt;&gt;"Ready"),"Overdue","On track"),"No due date")</x:f>
        <x:v>No due date</x:v>
      </x:c>
    </x:row>
    <x:row r="25" ht="68" customHeight="1">
      <x:c r="A25" s="10" t="str">
        <x:v>MKT</x:v>
      </x:c>
      <x:c r="B25" s="10" t="str">
        <x:v>MKT-UAT-07-B</x:v>
      </x:c>
      <x:c r="C25" s="10" t="str">
        <x:v>MKT-REQ-07</x:v>
      </x:c>
      <x:c r="D25" s="10" t="str">
        <x:v>Boundary / exception</x:v>
      </x:c>
      <x:c r="E25" s="10" t="str">
        <x:v>Use a disposable fixture for changed data; supplied source stays immutable. Application tests require a configured environment.</x:v>
      </x:c>
      <x:c r="F25" s="10" t="str">
        <x:v>Prepare a disposable case for this rule: Reject unauthorized seller export; request reauthentication and audit the denial in the proposed application. Re-run the applicable SQL or execute the control in the future configured application.</x:v>
      </x:c>
      <x:c r="G25" s="10" t="str">
        <x:v>Reject unauthorized seller export; request reauthentication and audit the denial in the proposed application.</x:v>
      </x:c>
      <x:c r="H25" s="11" t="str">
        <x:v>Not executed</x:v>
      </x:c>
      <x:c r="I25" s="11" t="str"/>
      <x:c r="J25" s="11" t="str"/>
      <x:c r="K25" s="11" t="str"/>
      <x:c r="L25" s="12" t="str"/>
      <x:c r="M25" s="12" t="str"/>
      <x:c r="N25" s="11" t="str"/>
      <x:c r="O25" s="11" t="str">
        <x:v>Pending</x:v>
      </x:c>
      <x:c r="P25" s="13" t="str">
        <x:f>IF(H25&lt;&gt;"Passed","Pending",IF(AND(LEN(I25)&gt;0,LEN(J25)&gt;0,LEN(K25)&gt;0,ISNUMBER(L25)),"Ready","Missing evidence"))</x:f>
        <x:v>Pending</x:v>
      </x:c>
      <x:c r="Q25" s="13" t="str">
        <x:f>IF(ISNUMBER(M25),IF(AND(M25&lt;Dashboard!$B$4,P25&lt;&gt;"Ready"),"Overdue","On track"),"No due date")</x:f>
        <x:v>No due date</x:v>
      </x:c>
    </x:row>
    <x:row r="26" ht="54" customHeight="1">
      <x:c r="A26" s="10" t="str">
        <x:v>MKT</x:v>
      </x:c>
      <x:c r="B26" s="10" t="str">
        <x:v>MKT-UAT-07-C</x:v>
      </x:c>
      <x:c r="C26" s="10" t="str">
        <x:v>MKT-REQ-07</x:v>
      </x:c>
      <x:c r="D26" s="10" t="str">
        <x:v>Business review</x:v>
      </x:c>
      <x:c r="E26" s="10" t="str">
        <x:v>Use a disposable fixture for changed data; supplied source stays immutable. Application tests require a configured environment.</x:v>
      </x:c>
      <x:c r="F26" s="10" t="str">
        <x:v>Ask the Marketplace Operations Manager to review the labels, scope, evidence, and recommendation against MKT-REQ-07.</x:v>
      </x:c>
      <x:c r="G26" s="10" t="str">
        <x:v>Owner records Approved / Rejected / Needs clarification with a reason and supporting evidence.</x:v>
      </x:c>
      <x:c r="H26" s="11" t="str">
        <x:v>Not executed</x:v>
      </x:c>
      <x:c r="I26" s="11" t="str"/>
      <x:c r="J26" s="11" t="str"/>
      <x:c r="K26" s="11" t="str"/>
      <x:c r="L26" s="12" t="str"/>
      <x:c r="M26" s="12" t="str"/>
      <x:c r="N26" s="11" t="str"/>
      <x:c r="O26" s="11" t="str">
        <x:v>Pending</x:v>
      </x:c>
      <x:c r="P26" s="13" t="str">
        <x:f>IF(H26&lt;&gt;"Passed","Pending",IF(AND(LEN(I26)&gt;0,LEN(J26)&gt;0,LEN(K26)&gt;0,ISNUMBER(L26)),"Ready","Missing evidence"))</x:f>
        <x:v>Pending</x:v>
      </x:c>
      <x:c r="Q26" s="13" t="str">
        <x:f>IF(ISNUMBER(M26),IF(AND(M26&lt;Dashboard!$B$4,P26&lt;&gt;"Ready"),"Overdue","On track"),"No due date")</x:f>
        <x:v>No due date</x:v>
      </x:c>
    </x:row>
    <x:row r="27" ht="54" customHeight="1">
      <x:c r="A27" s="10" t="str">
        <x:v>MKT</x:v>
      </x:c>
      <x:c r="B27" s="10" t="str">
        <x:v>MKT-UAT-08-A</x:v>
      </x:c>
      <x:c r="C27" s="10" t="str">
        <x:v>MKT-REQ-08</x:v>
      </x:c>
      <x:c r="D27" s="10" t="str">
        <x:v>Acceptance</x:v>
      </x:c>
      <x:c r="E27" s="10" t="str">
        <x:v>Use a disposable fixture for changed data; supplied source stays immutable. Application tests require a configured environment.</x:v>
      </x:c>
      <x:c r="F27" s="10" t="str">
        <x:v>Review requirement MKT-REQ-08; load the unchanged supplied source; inspect Q03 result and independently recompute its control totals.</x:v>
      </x:c>
      <x:c r="G27" s="10" t="str">
        <x:v>Every recommendation identifies an owner, supporting result, uncertainty, and next validation step.</x:v>
      </x:c>
      <x:c r="H27" s="11" t="str">
        <x:v>Not executed</x:v>
      </x:c>
      <x:c r="I27" s="11" t="str"/>
      <x:c r="J27" s="11" t="str"/>
      <x:c r="K27" s="11" t="str"/>
      <x:c r="L27" s="12" t="str"/>
      <x:c r="M27" s="12" t="str"/>
      <x:c r="N27" s="11" t="str"/>
      <x:c r="O27" s="11" t="str">
        <x:v>Pending</x:v>
      </x:c>
      <x:c r="P27" s="13" t="str">
        <x:f>IF(H27&lt;&gt;"Passed","Pending",IF(AND(LEN(I27)&gt;0,LEN(J27)&gt;0,LEN(K27)&gt;0,ISNUMBER(L27)),"Ready","Missing evidence"))</x:f>
        <x:v>Pending</x:v>
      </x:c>
      <x:c r="Q27" s="13" t="str">
        <x:f>IF(ISNUMBER(M27),IF(AND(M27&lt;Dashboard!$B$4,P27&lt;&gt;"Ready"),"Overdue","On track"),"No due date")</x:f>
        <x:v>No due date</x:v>
      </x:c>
    </x:row>
    <x:row r="28" ht="68" customHeight="1">
      <x:c r="A28" s="10" t="str">
        <x:v>MKT</x:v>
      </x:c>
      <x:c r="B28" s="10" t="str">
        <x:v>MKT-UAT-08-B</x:v>
      </x:c>
      <x:c r="C28" s="10" t="str">
        <x:v>MKT-REQ-08</x:v>
      </x:c>
      <x:c r="D28" s="10" t="str">
        <x:v>Boundary / exception</x:v>
      </x:c>
      <x:c r="E28" s="10" t="str">
        <x:v>Use a disposable fixture for changed data; supplied source stays immutable. Application tests require a configured environment.</x:v>
      </x:c>
      <x:c r="F28" s="10" t="str">
        <x:v>Prepare a disposable case for this rule: High contribution alone does not prove poor seller performance or justify a fee change. Re-run the applicable SQL or execute the control in the future configured application.</x:v>
      </x:c>
      <x:c r="G28" s="10" t="str">
        <x:v>High contribution alone does not prove poor seller performance or justify a fee change.</x:v>
      </x:c>
      <x:c r="H28" s="11" t="str">
        <x:v>Not executed</x:v>
      </x:c>
      <x:c r="I28" s="11" t="str"/>
      <x:c r="J28" s="11" t="str"/>
      <x:c r="K28" s="11" t="str"/>
      <x:c r="L28" s="12" t="str"/>
      <x:c r="M28" s="12" t="str"/>
      <x:c r="N28" s="11" t="str"/>
      <x:c r="O28" s="11" t="str">
        <x:v>Pending</x:v>
      </x:c>
      <x:c r="P28" s="13" t="str">
        <x:f>IF(H28&lt;&gt;"Passed","Pending",IF(AND(LEN(I28)&gt;0,LEN(J28)&gt;0,LEN(K28)&gt;0,ISNUMBER(L28)),"Ready","Missing evidence"))</x:f>
        <x:v>Pending</x:v>
      </x:c>
      <x:c r="Q28" s="13" t="str">
        <x:f>IF(ISNUMBER(M28),IF(AND(M28&lt;Dashboard!$B$4,P28&lt;&gt;"Ready"),"Overdue","On track"),"No due date")</x:f>
        <x:v>No due date</x:v>
      </x:c>
    </x:row>
    <x:row r="29" ht="54" customHeight="1">
      <x:c r="A29" s="10" t="str">
        <x:v>MKT</x:v>
      </x:c>
      <x:c r="B29" s="10" t="str">
        <x:v>MKT-UAT-08-C</x:v>
      </x:c>
      <x:c r="C29" s="10" t="str">
        <x:v>MKT-REQ-08</x:v>
      </x:c>
      <x:c r="D29" s="10" t="str">
        <x:v>Business review</x:v>
      </x:c>
      <x:c r="E29" s="10" t="str">
        <x:v>Use a disposable fixture for changed data; supplied source stays immutable. Application tests require a configured environment.</x:v>
      </x:c>
      <x:c r="F29" s="10" t="str">
        <x:v>Ask the Marketplace Operations Manager to review the labels, scope, evidence, and recommendation against MKT-REQ-08.</x:v>
      </x:c>
      <x:c r="G29" s="10" t="str">
        <x:v>Owner records Approved / Rejected / Needs clarification with a reason and supporting evidence.</x:v>
      </x:c>
      <x:c r="H29" s="11" t="str">
        <x:v>Not executed</x:v>
      </x:c>
      <x:c r="I29" s="11" t="str"/>
      <x:c r="J29" s="11" t="str"/>
      <x:c r="K29" s="11" t="str"/>
      <x:c r="L29" s="12" t="str"/>
      <x:c r="M29" s="12" t="str"/>
      <x:c r="N29" s="11" t="str"/>
      <x:c r="O29" s="11" t="str">
        <x:v>Pending</x:v>
      </x:c>
      <x:c r="P29" s="13" t="str">
        <x:f>IF(H29&lt;&gt;"Passed","Pending",IF(AND(LEN(I29)&gt;0,LEN(J29)&gt;0,LEN(K29)&gt;0,ISNUMBER(L29)),"Ready","Missing evidence"))</x:f>
        <x:v>Pending</x:v>
      </x:c>
      <x:c r="Q29" s="13" t="str">
        <x:f>IF(ISNUMBER(M29),IF(AND(M29&lt;Dashboard!$B$4,P29&lt;&gt;"Ready"),"Overdue","On track"),"No due date")</x:f>
        <x:v>No due date</x:v>
      </x:c>
    </x:row>
    <x:row r="30" ht="54" customHeight="1">
      <x:c r="A30" s="10" t="str">
        <x:v>ECOM</x:v>
      </x:c>
      <x:c r="B30" s="10" t="str">
        <x:v>ECOM-UAT-01-A</x:v>
      </x:c>
      <x:c r="C30" s="10" t="str">
        <x:v>ECOM-REQ-01</x:v>
      </x:c>
      <x:c r="D30" s="10" t="str">
        <x:v>Acceptance</x:v>
      </x:c>
      <x:c r="E30" s="10" t="str">
        <x:v>Use a disposable fixture for changed data; supplied source stays immutable. Application tests require a configured environment.</x:v>
      </x:c>
      <x:c r="F30" s="10" t="str">
        <x:v>Review requirement ECOM-REQ-01; load the unchanged supplied source; inspect Q01 result and independently recompute its control totals.</x:v>
      </x:c>
      <x:c r="G30" s="10" t="str">
        <x:v>Row count equals the source count; repeated-row count is profiled and disclosed.</x:v>
      </x:c>
      <x:c r="H30" s="11" t="str">
        <x:v>Not executed</x:v>
      </x:c>
      <x:c r="I30" s="11" t="str"/>
      <x:c r="J30" s="11" t="str"/>
      <x:c r="K30" s="11" t="str"/>
      <x:c r="L30" s="12" t="str"/>
      <x:c r="M30" s="12" t="str"/>
      <x:c r="N30" s="11" t="str"/>
      <x:c r="O30" s="11" t="str">
        <x:v>Pending</x:v>
      </x:c>
      <x:c r="P30" s="13" t="str">
        <x:f>IF(H30&lt;&gt;"Passed","Pending",IF(AND(LEN(I30)&gt;0,LEN(J30)&gt;0,LEN(K30)&gt;0,ISNUMBER(L30)),"Ready","Missing evidence"))</x:f>
        <x:v>Pending</x:v>
      </x:c>
      <x:c r="Q30" s="13" t="str">
        <x:f>IF(ISNUMBER(M30),IF(AND(M30&lt;Dashboard!$B$4,P30&lt;&gt;"Ready"),"Overdue","On track"),"No due date")</x:f>
        <x:v>No due date</x:v>
      </x:c>
    </x:row>
    <x:row r="31" ht="68" customHeight="1">
      <x:c r="A31" s="10" t="str">
        <x:v>ECOM</x:v>
      </x:c>
      <x:c r="B31" s="10" t="str">
        <x:v>ECOM-UAT-01-B</x:v>
      </x:c>
      <x:c r="C31" s="10" t="str">
        <x:v>ECOM-REQ-01</x:v>
      </x:c>
      <x:c r="D31" s="10" t="str">
        <x:v>Boundary / exception</x:v>
      </x:c>
      <x:c r="E31" s="10" t="str">
        <x:v>Use a disposable fixture for changed data; supplied source stays immutable. Application tests require a configured environment.</x:v>
      </x:c>
      <x:c r="F31" s="10" t="str">
        <x:v>Prepare a disposable case for this rule: Repeated anonymous rows are retained because no event key proves duplication. Re-run the applicable SQL or execute the control in the future configured application.</x:v>
      </x:c>
      <x:c r="G31" s="10" t="str">
        <x:v>Repeated anonymous rows are retained because no event key proves duplication.</x:v>
      </x:c>
      <x:c r="H31" s="11" t="str">
        <x:v>Not executed</x:v>
      </x:c>
      <x:c r="I31" s="11" t="str"/>
      <x:c r="J31" s="11" t="str"/>
      <x:c r="K31" s="11" t="str"/>
      <x:c r="L31" s="12" t="str"/>
      <x:c r="M31" s="12" t="str"/>
      <x:c r="N31" s="11" t="str"/>
      <x:c r="O31" s="11" t="str">
        <x:v>Pending</x:v>
      </x:c>
      <x:c r="P31" s="13" t="str">
        <x:f>IF(H31&lt;&gt;"Passed","Pending",IF(AND(LEN(I31)&gt;0,LEN(J31)&gt;0,LEN(K31)&gt;0,ISNUMBER(L31)),"Ready","Missing evidence"))</x:f>
        <x:v>Pending</x:v>
      </x:c>
      <x:c r="Q31" s="13" t="str">
        <x:f>IF(ISNUMBER(M31),IF(AND(M31&lt;Dashboard!$B$4,P31&lt;&gt;"Ready"),"Overdue","On track"),"No due date")</x:f>
        <x:v>No due date</x:v>
      </x:c>
    </x:row>
    <x:row r="32" ht="54" customHeight="1">
      <x:c r="A32" s="10" t="str">
        <x:v>ECOM</x:v>
      </x:c>
      <x:c r="B32" s="10" t="str">
        <x:v>ECOM-UAT-01-C</x:v>
      </x:c>
      <x:c r="C32" s="10" t="str">
        <x:v>ECOM-REQ-01</x:v>
      </x:c>
      <x:c r="D32" s="10" t="str">
        <x:v>Business review</x:v>
      </x:c>
      <x:c r="E32" s="10" t="str">
        <x:v>Use a disposable fixture for changed data; supplied source stays immutable. Application tests require a configured environment.</x:v>
      </x:c>
      <x:c r="F32" s="10" t="str">
        <x:v>Ask the Checkout Product Manager to review the labels, scope, evidence, and recommendation against ECOM-REQ-01.</x:v>
      </x:c>
      <x:c r="G32" s="10" t="str">
        <x:v>Owner records Approved / Rejected / Needs clarification with a reason and supporting evidence.</x:v>
      </x:c>
      <x:c r="H32" s="11" t="str">
        <x:v>Not executed</x:v>
      </x:c>
      <x:c r="I32" s="11" t="str"/>
      <x:c r="J32" s="11" t="str"/>
      <x:c r="K32" s="11" t="str"/>
      <x:c r="L32" s="12" t="str"/>
      <x:c r="M32" s="12" t="str"/>
      <x:c r="N32" s="11" t="str"/>
      <x:c r="O32" s="11" t="str">
        <x:v>Pending</x:v>
      </x:c>
      <x:c r="P32" s="13" t="str">
        <x:f>IF(H32&lt;&gt;"Passed","Pending",IF(AND(LEN(I32)&gt;0,LEN(J32)&gt;0,LEN(K32)&gt;0,ISNUMBER(L32)),"Ready","Missing evidence"))</x:f>
        <x:v>Pending</x:v>
      </x:c>
      <x:c r="Q32" s="13" t="str">
        <x:f>IF(ISNUMBER(M32),IF(AND(M32&lt;Dashboard!$B$4,P32&lt;&gt;"Ready"),"Overdue","On track"),"No due date")</x:f>
        <x:v>No due date</x:v>
      </x:c>
    </x:row>
    <x:row r="33" ht="54" customHeight="1">
      <x:c r="A33" s="10" t="str">
        <x:v>ECOM</x:v>
      </x:c>
      <x:c r="B33" s="10" t="str">
        <x:v>ECOM-UAT-02-A</x:v>
      </x:c>
      <x:c r="C33" s="10" t="str">
        <x:v>ECOM-REQ-02</x:v>
      </x:c>
      <x:c r="D33" s="10" t="str">
        <x:v>Acceptance</x:v>
      </x:c>
      <x:c r="E33" s="10" t="str">
        <x:v>Use a disposable fixture for changed data; supplied source stays immutable. Application tests require a configured environment.</x:v>
      </x:c>
      <x:c r="F33" s="10" t="str">
        <x:v>Review requirement ECOM-REQ-02; load the unchanged supplied source; inspect Q01 result and independently recompute its control totals.</x:v>
      </x:c>
      <x:c r="G33" s="10" t="str">
        <x:v>Every violating observation is reported; the supplied file passes or is explicitly flagged.</x:v>
      </x:c>
      <x:c r="H33" s="11" t="str">
        <x:v>Not executed</x:v>
      </x:c>
      <x:c r="I33" s="11" t="str"/>
      <x:c r="J33" s="11" t="str"/>
      <x:c r="K33" s="11" t="str"/>
      <x:c r="L33" s="12" t="str"/>
      <x:c r="M33" s="12" t="str"/>
      <x:c r="N33" s="11" t="str"/>
      <x:c r="O33" s="11" t="str">
        <x:v>Pending</x:v>
      </x:c>
      <x:c r="P33" s="13" t="str">
        <x:f>IF(H33&lt;&gt;"Passed","Pending",IF(AND(LEN(I33)&gt;0,LEN(J33)&gt;0,LEN(K33)&gt;0,ISNUMBER(L33)),"Ready","Missing evidence"))</x:f>
        <x:v>Pending</x:v>
      </x:c>
      <x:c r="Q33" s="13" t="str">
        <x:f>IF(ISNUMBER(M33),IF(AND(M33&lt;Dashboard!$B$4,P33&lt;&gt;"Ready"),"Overdue","On track"),"No due date")</x:f>
        <x:v>No due date</x:v>
      </x:c>
    </x:row>
    <x:row r="34" ht="68" customHeight="1">
      <x:c r="A34" s="10" t="str">
        <x:v>ECOM</x:v>
      </x:c>
      <x:c r="B34" s="10" t="str">
        <x:v>ECOM-UAT-02-B</x:v>
      </x:c>
      <x:c r="C34" s="10" t="str">
        <x:v>ECOM-REQ-02</x:v>
      </x:c>
      <x:c r="D34" s="10" t="str">
        <x:v>Boundary / exception</x:v>
      </x:c>
      <x:c r="E34" s="10" t="str">
        <x:v>Use a disposable fixture for changed data; supplied source stays immutable. Application tests require a configured environment.</x:v>
      </x:c>
      <x:c r="F34" s="10" t="str">
        <x:v>Prepare a disposable case for this rule: A later stage greater than an earlier stage is a data exception, not a valid funnel. Re-run the applicable SQL or execute the control in the future configured application.</x:v>
      </x:c>
      <x:c r="G34" s="10" t="str">
        <x:v>A later stage greater than an earlier stage is a data exception, not a valid funnel.</x:v>
      </x:c>
      <x:c r="H34" s="11" t="str">
        <x:v>Not executed</x:v>
      </x:c>
      <x:c r="I34" s="11" t="str"/>
      <x:c r="J34" s="11" t="str"/>
      <x:c r="K34" s="11" t="str"/>
      <x:c r="L34" s="12" t="str"/>
      <x:c r="M34" s="12" t="str"/>
      <x:c r="N34" s="11" t="str"/>
      <x:c r="O34" s="11" t="str">
        <x:v>Pending</x:v>
      </x:c>
      <x:c r="P34" s="13" t="str">
        <x:f>IF(H34&lt;&gt;"Passed","Pending",IF(AND(LEN(I34)&gt;0,LEN(J34)&gt;0,LEN(K34)&gt;0,ISNUMBER(L34)),"Ready","Missing evidence"))</x:f>
        <x:v>Pending</x:v>
      </x:c>
      <x:c r="Q34" s="13" t="str">
        <x:f>IF(ISNUMBER(M34),IF(AND(M34&lt;Dashboard!$B$4,P34&lt;&gt;"Ready"),"Overdue","On track"),"No due date")</x:f>
        <x:v>No due date</x:v>
      </x:c>
    </x:row>
    <x:row r="35" ht="54" customHeight="1">
      <x:c r="A35" s="10" t="str">
        <x:v>ECOM</x:v>
      </x:c>
      <x:c r="B35" s="10" t="str">
        <x:v>ECOM-UAT-02-C</x:v>
      </x:c>
      <x:c r="C35" s="10" t="str">
        <x:v>ECOM-REQ-02</x:v>
      </x:c>
      <x:c r="D35" s="10" t="str">
        <x:v>Business review</x:v>
      </x:c>
      <x:c r="E35" s="10" t="str">
        <x:v>Use a disposable fixture for changed data; supplied source stays immutable. Application tests require a configured environment.</x:v>
      </x:c>
      <x:c r="F35" s="10" t="str">
        <x:v>Ask the Checkout Product Manager to review the labels, scope, evidence, and recommendation against ECOM-REQ-02.</x:v>
      </x:c>
      <x:c r="G35" s="10" t="str">
        <x:v>Owner records Approved / Rejected / Needs clarification with a reason and supporting evidence.</x:v>
      </x:c>
      <x:c r="H35" s="11" t="str">
        <x:v>Not executed</x:v>
      </x:c>
      <x:c r="I35" s="11" t="str"/>
      <x:c r="J35" s="11" t="str"/>
      <x:c r="K35" s="11" t="str"/>
      <x:c r="L35" s="12" t="str"/>
      <x:c r="M35" s="12" t="str"/>
      <x:c r="N35" s="11" t="str"/>
      <x:c r="O35" s="11" t="str">
        <x:v>Pending</x:v>
      </x:c>
      <x:c r="P35" s="13" t="str">
        <x:f>IF(H35&lt;&gt;"Passed","Pending",IF(AND(LEN(I35)&gt;0,LEN(J35)&gt;0,LEN(K35)&gt;0,ISNUMBER(L35)),"Ready","Missing evidence"))</x:f>
        <x:v>Pending</x:v>
      </x:c>
      <x:c r="Q35" s="13" t="str">
        <x:f>IF(ISNUMBER(M35),IF(AND(M35&lt;Dashboard!$B$4,P35&lt;&gt;"Ready"),"Overdue","On track"),"No due date")</x:f>
        <x:v>No due date</x:v>
      </x:c>
    </x:row>
    <x:row r="36" ht="54" customHeight="1">
      <x:c r="A36" s="10" t="str">
        <x:v>ECOM</x:v>
      </x:c>
      <x:c r="B36" s="10" t="str">
        <x:v>ECOM-UAT-03-A</x:v>
      </x:c>
      <x:c r="C36" s="10" t="str">
        <x:v>ECOM-REQ-03</x:v>
      </x:c>
      <x:c r="D36" s="10" t="str">
        <x:v>Acceptance</x:v>
      </x:c>
      <x:c r="E36" s="10" t="str">
        <x:v>Use a disposable fixture for changed data; supplied source stays immutable. Application tests require a configured environment.</x:v>
      </x:c>
      <x:c r="F36" s="10" t="str">
        <x:v>Review requirement ECOM-REQ-03; load the unchanged supplied source; inspect Q02 result and independently recompute its control totals.</x:v>
      </x:c>
      <x:c r="G36" s="10" t="str">
        <x:v>Zero denominators return null; a weighted fixture matches independently calculated results.</x:v>
      </x:c>
      <x:c r="H36" s="11" t="str">
        <x:v>Not executed</x:v>
      </x:c>
      <x:c r="I36" s="11" t="str"/>
      <x:c r="J36" s="11" t="str"/>
      <x:c r="K36" s="11" t="str"/>
      <x:c r="L36" s="12" t="str"/>
      <x:c r="M36" s="12" t="str"/>
      <x:c r="N36" s="11" t="str"/>
      <x:c r="O36" s="11" t="str">
        <x:v>Pending</x:v>
      </x:c>
      <x:c r="P36" s="13" t="str">
        <x:f>IF(H36&lt;&gt;"Passed","Pending",IF(AND(LEN(I36)&gt;0,LEN(J36)&gt;0,LEN(K36)&gt;0,ISNUMBER(L36)),"Ready","Missing evidence"))</x:f>
        <x:v>Pending</x:v>
      </x:c>
      <x:c r="Q36" s="13" t="str">
        <x:f>IF(ISNUMBER(M36),IF(AND(M36&lt;Dashboard!$B$4,P36&lt;&gt;"Ready"),"Overdue","On track"),"No due date")</x:f>
        <x:v>No due date</x:v>
      </x:c>
    </x:row>
    <x:row r="37" ht="68" customHeight="1">
      <x:c r="A37" s="10" t="str">
        <x:v>ECOM</x:v>
      </x:c>
      <x:c r="B37" s="10" t="str">
        <x:v>ECOM-UAT-03-B</x:v>
      </x:c>
      <x:c r="C37" s="10" t="str">
        <x:v>ECOM-REQ-03</x:v>
      </x:c>
      <x:c r="D37" s="10" t="str">
        <x:v>Boundary / exception</x:v>
      </x:c>
      <x:c r="E37" s="10" t="str">
        <x:v>Use a disposable fixture for changed data; supplied source stays immutable. Application tests require a configured environment.</x:v>
      </x:c>
      <x:c r="F37" s="10" t="str">
        <x:v>Prepare a disposable case for this rule: Zero prior-stage count produces undefined transition rate, never zero conversion by default. Re-run the applicable SQL or execute the control in the future configured application.</x:v>
      </x:c>
      <x:c r="G37" s="10" t="str">
        <x:v>Zero prior-stage count produces undefined transition rate, never zero conversion by default.</x:v>
      </x:c>
      <x:c r="H37" s="11" t="str">
        <x:v>Not executed</x:v>
      </x:c>
      <x:c r="I37" s="11" t="str"/>
      <x:c r="J37" s="11" t="str"/>
      <x:c r="K37" s="11" t="str"/>
      <x:c r="L37" s="12" t="str"/>
      <x:c r="M37" s="12" t="str"/>
      <x:c r="N37" s="11" t="str"/>
      <x:c r="O37" s="11" t="str">
        <x:v>Pending</x:v>
      </x:c>
      <x:c r="P37" s="13" t="str">
        <x:f>IF(H37&lt;&gt;"Passed","Pending",IF(AND(LEN(I37)&gt;0,LEN(J37)&gt;0,LEN(K37)&gt;0,ISNUMBER(L37)),"Ready","Missing evidence"))</x:f>
        <x:v>Pending</x:v>
      </x:c>
      <x:c r="Q37" s="13" t="str">
        <x:f>IF(ISNUMBER(M37),IF(AND(M37&lt;Dashboard!$B$4,P37&lt;&gt;"Ready"),"Overdue","On track"),"No due date")</x:f>
        <x:v>No due date</x:v>
      </x:c>
    </x:row>
    <x:row r="38" ht="54" customHeight="1">
      <x:c r="A38" s="10" t="str">
        <x:v>ECOM</x:v>
      </x:c>
      <x:c r="B38" s="10" t="str">
        <x:v>ECOM-UAT-03-C</x:v>
      </x:c>
      <x:c r="C38" s="10" t="str">
        <x:v>ECOM-REQ-03</x:v>
      </x:c>
      <x:c r="D38" s="10" t="str">
        <x:v>Business review</x:v>
      </x:c>
      <x:c r="E38" s="10" t="str">
        <x:v>Use a disposable fixture for changed data; supplied source stays immutable. Application tests require a configured environment.</x:v>
      </x:c>
      <x:c r="F38" s="10" t="str">
        <x:v>Ask the Checkout Product Manager to review the labels, scope, evidence, and recommendation against ECOM-REQ-03.</x:v>
      </x:c>
      <x:c r="G38" s="10" t="str">
        <x:v>Owner records Approved / Rejected / Needs clarification with a reason and supporting evidence.</x:v>
      </x:c>
      <x:c r="H38" s="11" t="str">
        <x:v>Not executed</x:v>
      </x:c>
      <x:c r="I38" s="11" t="str"/>
      <x:c r="J38" s="11" t="str"/>
      <x:c r="K38" s="11" t="str"/>
      <x:c r="L38" s="12" t="str"/>
      <x:c r="M38" s="12" t="str"/>
      <x:c r="N38" s="11" t="str"/>
      <x:c r="O38" s="11" t="str">
        <x:v>Pending</x:v>
      </x:c>
      <x:c r="P38" s="13" t="str">
        <x:f>IF(H38&lt;&gt;"Passed","Pending",IF(AND(LEN(I38)&gt;0,LEN(J38)&gt;0,LEN(K38)&gt;0,ISNUMBER(L38)),"Ready","Missing evidence"))</x:f>
        <x:v>Pending</x:v>
      </x:c>
      <x:c r="Q38" s="13" t="str">
        <x:f>IF(ISNUMBER(M38),IF(AND(M38&lt;Dashboard!$B$4,P38&lt;&gt;"Ready"),"Overdue","On track"),"No due date")</x:f>
        <x:v>No due date</x:v>
      </x:c>
    </x:row>
    <x:row r="39" ht="54" customHeight="1">
      <x:c r="A39" s="10" t="str">
        <x:v>ECOM</x:v>
      </x:c>
      <x:c r="B39" s="10" t="str">
        <x:v>ECOM-UAT-04-A</x:v>
      </x:c>
      <x:c r="C39" s="10" t="str">
        <x:v>ECOM-REQ-04</x:v>
      </x:c>
      <x:c r="D39" s="10" t="str">
        <x:v>Acceptance</x:v>
      </x:c>
      <x:c r="E39" s="10" t="str">
        <x:v>Use a disposable fixture for changed data; supplied source stays immutable. Application tests require a configured environment.</x:v>
      </x:c>
      <x:c r="F39" s="10" t="str">
        <x:v>Review requirement ECOM-REQ-04; load the unchanged supplied source; inspect Q02 result and independently recompute its control totals.</x:v>
      </x:c>
      <x:c r="G39" s="10" t="str">
        <x:v>Device stage counts reconcile to portfolio totals and comparisons use identical periods.</x:v>
      </x:c>
      <x:c r="H39" s="11" t="str">
        <x:v>Not executed</x:v>
      </x:c>
      <x:c r="I39" s="11" t="str"/>
      <x:c r="J39" s="11" t="str"/>
      <x:c r="K39" s="11" t="str"/>
      <x:c r="L39" s="12" t="str"/>
      <x:c r="M39" s="12" t="str"/>
      <x:c r="N39" s="11" t="str"/>
      <x:c r="O39" s="11" t="str">
        <x:v>Pending</x:v>
      </x:c>
      <x:c r="P39" s="13" t="str">
        <x:f>IF(H39&lt;&gt;"Passed","Pending",IF(AND(LEN(I39)&gt;0,LEN(J39)&gt;0,LEN(K39)&gt;0,ISNUMBER(L39)),"Ready","Missing evidence"))</x:f>
        <x:v>Pending</x:v>
      </x:c>
      <x:c r="Q39" s="13" t="str">
        <x:f>IF(ISNUMBER(M39),IF(AND(M39&lt;Dashboard!$B$4,P39&lt;&gt;"Ready"),"Overdue","On track"),"No due date")</x:f>
        <x:v>No due date</x:v>
      </x:c>
    </x:row>
    <x:row r="40" ht="68" customHeight="1">
      <x:c r="A40" s="10" t="str">
        <x:v>ECOM</x:v>
      </x:c>
      <x:c r="B40" s="10" t="str">
        <x:v>ECOM-UAT-04-B</x:v>
      </x:c>
      <x:c r="C40" s="10" t="str">
        <x:v>ECOM-REQ-04</x:v>
      </x:c>
      <x:c r="D40" s="10" t="str">
        <x:v>Boundary / exception</x:v>
      </x:c>
      <x:c r="E40" s="10" t="str">
        <x:v>Use a disposable fixture for changed data; supplied source stays immutable. Application tests require a configured environment.</x:v>
      </x:c>
      <x:c r="F40" s="10" t="str">
        <x:v>Prepare a disposable case for this rule: A small device denominator remains visible; a device with no observations is labeled No records. Re-run the applicable SQL or execute the control in the future configured application.</x:v>
      </x:c>
      <x:c r="G40" s="10" t="str">
        <x:v>A small device denominator remains visible; a device with no observations is labeled No records.</x:v>
      </x:c>
      <x:c r="H40" s="11" t="str">
        <x:v>Not executed</x:v>
      </x:c>
      <x:c r="I40" s="11" t="str"/>
      <x:c r="J40" s="11" t="str"/>
      <x:c r="K40" s="11" t="str"/>
      <x:c r="L40" s="12" t="str"/>
      <x:c r="M40" s="12" t="str"/>
      <x:c r="N40" s="11" t="str"/>
      <x:c r="O40" s="11" t="str">
        <x:v>Pending</x:v>
      </x:c>
      <x:c r="P40" s="13" t="str">
        <x:f>IF(H40&lt;&gt;"Passed","Pending",IF(AND(LEN(I40)&gt;0,LEN(J40)&gt;0,LEN(K40)&gt;0,ISNUMBER(L40)),"Ready","Missing evidence"))</x:f>
        <x:v>Pending</x:v>
      </x:c>
      <x:c r="Q40" s="13" t="str">
        <x:f>IF(ISNUMBER(M40),IF(AND(M40&lt;Dashboard!$B$4,P40&lt;&gt;"Ready"),"Overdue","On track"),"No due date")</x:f>
        <x:v>No due date</x:v>
      </x:c>
    </x:row>
    <x:row r="41" ht="54" customHeight="1">
      <x:c r="A41" s="10" t="str">
        <x:v>ECOM</x:v>
      </x:c>
      <x:c r="B41" s="10" t="str">
        <x:v>ECOM-UAT-04-C</x:v>
      </x:c>
      <x:c r="C41" s="10" t="str">
        <x:v>ECOM-REQ-04</x:v>
      </x:c>
      <x:c r="D41" s="10" t="str">
        <x:v>Business review</x:v>
      </x:c>
      <x:c r="E41" s="10" t="str">
        <x:v>Use a disposable fixture for changed data; supplied source stays immutable. Application tests require a configured environment.</x:v>
      </x:c>
      <x:c r="F41" s="10" t="str">
        <x:v>Ask the Checkout Product Manager to review the labels, scope, evidence, and recommendation against ECOM-REQ-04.</x:v>
      </x:c>
      <x:c r="G41" s="10" t="str">
        <x:v>Owner records Approved / Rejected / Needs clarification with a reason and supporting evidence.</x:v>
      </x:c>
      <x:c r="H41" s="11" t="str">
        <x:v>Not executed</x:v>
      </x:c>
      <x:c r="I41" s="11" t="str"/>
      <x:c r="J41" s="11" t="str"/>
      <x:c r="K41" s="11" t="str"/>
      <x:c r="L41" s="12" t="str"/>
      <x:c r="M41" s="12" t="str"/>
      <x:c r="N41" s="11" t="str"/>
      <x:c r="O41" s="11" t="str">
        <x:v>Pending</x:v>
      </x:c>
      <x:c r="P41" s="13" t="str">
        <x:f>IF(H41&lt;&gt;"Passed","Pending",IF(AND(LEN(I41)&gt;0,LEN(J41)&gt;0,LEN(K41)&gt;0,ISNUMBER(L41)),"Ready","Missing evidence"))</x:f>
        <x:v>Pending</x:v>
      </x:c>
      <x:c r="Q41" s="13" t="str">
        <x:f>IF(ISNUMBER(M41),IF(AND(M41&lt;Dashboard!$B$4,P41&lt;&gt;"Ready"),"Overdue","On track"),"No due date")</x:f>
        <x:v>No due date</x:v>
      </x:c>
    </x:row>
    <x:row r="42" ht="54" customHeight="1">
      <x:c r="A42" s="10" t="str">
        <x:v>ECOM</x:v>
      </x:c>
      <x:c r="B42" s="10" t="str">
        <x:v>ECOM-UAT-05-A</x:v>
      </x:c>
      <x:c r="C42" s="10" t="str">
        <x:v>ECOM-REQ-05</x:v>
      </x:c>
      <x:c r="D42" s="10" t="str">
        <x:v>Acceptance</x:v>
      </x:c>
      <x:c r="E42" s="10" t="str">
        <x:v>Use a disposable fixture for changed data; supplied source stays immutable. Application tests require a configured environment.</x:v>
      </x:c>
      <x:c r="F42" s="10" t="str">
        <x:v>Review requirement ECOM-REQ-05; load the unchanged supplied source; inspect Q03 result and independently recompute its control totals.</x:v>
      </x:c>
      <x:c r="G42" s="10" t="str">
        <x:v>Channel revenue sums to total; low sample counts are visible.</x:v>
      </x:c>
      <x:c r="H42" s="11" t="str">
        <x:v>Not executed</x:v>
      </x:c>
      <x:c r="I42" s="11" t="str"/>
      <x:c r="J42" s="11" t="str"/>
      <x:c r="K42" s="11" t="str"/>
      <x:c r="L42" s="12" t="str"/>
      <x:c r="M42" s="12" t="str"/>
      <x:c r="N42" s="11" t="str"/>
      <x:c r="O42" s="11" t="str">
        <x:v>Pending</x:v>
      </x:c>
      <x:c r="P42" s="13" t="str">
        <x:f>IF(H42&lt;&gt;"Passed","Pending",IF(AND(LEN(I42)&gt;0,LEN(J42)&gt;0,LEN(K42)&gt;0,ISNUMBER(L42)),"Ready","Missing evidence"))</x:f>
        <x:v>Pending</x:v>
      </x:c>
      <x:c r="Q42" s="13" t="str">
        <x:f>IF(ISNUMBER(M42),IF(AND(M42&lt;Dashboard!$B$4,P42&lt;&gt;"Ready"),"Overdue","On track"),"No due date")</x:f>
        <x:v>No due date</x:v>
      </x:c>
    </x:row>
    <x:row r="43" ht="68" customHeight="1">
      <x:c r="A43" s="10" t="str">
        <x:v>ECOM</x:v>
      </x:c>
      <x:c r="B43" s="10" t="str">
        <x:v>ECOM-UAT-05-B</x:v>
      </x:c>
      <x:c r="C43" s="10" t="str">
        <x:v>ECOM-REQ-05</x:v>
      </x:c>
      <x:c r="D43" s="10" t="str">
        <x:v>Boundary / exception</x:v>
      </x:c>
      <x:c r="E43" s="10" t="str">
        <x:v>Use a disposable fixture for changed data; supplied source stays immutable. Application tests require a configured environment.</x:v>
      </x:c>
      <x:c r="F43" s="10" t="str">
        <x:v>Prepare a disposable case for this rule: Profit uses the supplied definition; do not assume shipping, returns, or overhead are reconciled. Re-run the applicable SQL or execute the control in the future configured application.</x:v>
      </x:c>
      <x:c r="G43" s="10" t="str">
        <x:v>Profit uses the supplied definition; do not assume shipping, returns, or overhead are reconciled.</x:v>
      </x:c>
      <x:c r="H43" s="11" t="str">
        <x:v>Not executed</x:v>
      </x:c>
      <x:c r="I43" s="11" t="str"/>
      <x:c r="J43" s="11" t="str"/>
      <x:c r="K43" s="11" t="str"/>
      <x:c r="L43" s="12" t="str"/>
      <x:c r="M43" s="12" t="str"/>
      <x:c r="N43" s="11" t="str"/>
      <x:c r="O43" s="11" t="str">
        <x:v>Pending</x:v>
      </x:c>
      <x:c r="P43" s="13" t="str">
        <x:f>IF(H43&lt;&gt;"Passed","Pending",IF(AND(LEN(I43)&gt;0,LEN(J43)&gt;0,LEN(K43)&gt;0,ISNUMBER(L43)),"Ready","Missing evidence"))</x:f>
        <x:v>Pending</x:v>
      </x:c>
      <x:c r="Q43" s="13" t="str">
        <x:f>IF(ISNUMBER(M43),IF(AND(M43&lt;Dashboard!$B$4,P43&lt;&gt;"Ready"),"Overdue","On track"),"No due date")</x:f>
        <x:v>No due date</x:v>
      </x:c>
    </x:row>
    <x:row r="44" ht="54" customHeight="1">
      <x:c r="A44" s="10" t="str">
        <x:v>ECOM</x:v>
      </x:c>
      <x:c r="B44" s="10" t="str">
        <x:v>ECOM-UAT-05-C</x:v>
      </x:c>
      <x:c r="C44" s="10" t="str">
        <x:v>ECOM-REQ-05</x:v>
      </x:c>
      <x:c r="D44" s="10" t="str">
        <x:v>Business review</x:v>
      </x:c>
      <x:c r="E44" s="10" t="str">
        <x:v>Use a disposable fixture for changed data; supplied source stays immutable. Application tests require a configured environment.</x:v>
      </x:c>
      <x:c r="F44" s="10" t="str">
        <x:v>Ask the Checkout Product Manager to review the labels, scope, evidence, and recommendation against ECOM-REQ-05.</x:v>
      </x:c>
      <x:c r="G44" s="10" t="str">
        <x:v>Owner records Approved / Rejected / Needs clarification with a reason and supporting evidence.</x:v>
      </x:c>
      <x:c r="H44" s="11" t="str">
        <x:v>Not executed</x:v>
      </x:c>
      <x:c r="I44" s="11" t="str"/>
      <x:c r="J44" s="11" t="str"/>
      <x:c r="K44" s="11" t="str"/>
      <x:c r="L44" s="12" t="str"/>
      <x:c r="M44" s="12" t="str"/>
      <x:c r="N44" s="11" t="str"/>
      <x:c r="O44" s="11" t="str">
        <x:v>Pending</x:v>
      </x:c>
      <x:c r="P44" s="13" t="str">
        <x:f>IF(H44&lt;&gt;"Passed","Pending",IF(AND(LEN(I44)&gt;0,LEN(J44)&gt;0,LEN(K44)&gt;0,ISNUMBER(L44)),"Ready","Missing evidence"))</x:f>
        <x:v>Pending</x:v>
      </x:c>
      <x:c r="Q44" s="13" t="str">
        <x:f>IF(ISNUMBER(M44),IF(AND(M44&lt;Dashboard!$B$4,P44&lt;&gt;"Ready"),"Overdue","On track"),"No due date")</x:f>
        <x:v>No due date</x:v>
      </x:c>
    </x:row>
    <x:row r="45" ht="54" customHeight="1">
      <x:c r="A45" s="10" t="str">
        <x:v>ECOM</x:v>
      </x:c>
      <x:c r="B45" s="10" t="str">
        <x:v>ECOM-UAT-06-A</x:v>
      </x:c>
      <x:c r="C45" s="10" t="str">
        <x:v>ECOM-REQ-06</x:v>
      </x:c>
      <x:c r="D45" s="10" t="str">
        <x:v>Acceptance</x:v>
      </x:c>
      <x:c r="E45" s="10" t="str">
        <x:v>Use a disposable fixture for changed data; supplied source stays immutable. Application tests require a configured environment.</x:v>
      </x:c>
      <x:c r="F45" s="10" t="str">
        <x:v>Review requirement ECOM-REQ-06; load the unchanged supplied source; inspect Q04 result and independently recompute its control totals.</x:v>
      </x:c>
      <x:c r="G45" s="10" t="str">
        <x:v>The first month has null prior-month change and no missing month is silently treated as zero.</x:v>
      </x:c>
      <x:c r="H45" s="11" t="str">
        <x:v>Not executed</x:v>
      </x:c>
      <x:c r="I45" s="11" t="str"/>
      <x:c r="J45" s="11" t="str"/>
      <x:c r="K45" s="11" t="str"/>
      <x:c r="L45" s="12" t="str"/>
      <x:c r="M45" s="12" t="str"/>
      <x:c r="N45" s="11" t="str"/>
      <x:c r="O45" s="11" t="str">
        <x:v>Pending</x:v>
      </x:c>
      <x:c r="P45" s="13" t="str">
        <x:f>IF(H45&lt;&gt;"Passed","Pending",IF(AND(LEN(I45)&gt;0,LEN(J45)&gt;0,LEN(K45)&gt;0,ISNUMBER(L45)),"Ready","Missing evidence"))</x:f>
        <x:v>Pending</x:v>
      </x:c>
      <x:c r="Q45" s="13" t="str">
        <x:f>IF(ISNUMBER(M45),IF(AND(M45&lt;Dashboard!$B$4,P45&lt;&gt;"Ready"),"Overdue","On track"),"No due date")</x:f>
        <x:v>No due date</x:v>
      </x:c>
    </x:row>
    <x:row r="46" ht="68" customHeight="1">
      <x:c r="A46" s="10" t="str">
        <x:v>ECOM</x:v>
      </x:c>
      <x:c r="B46" s="10" t="str">
        <x:v>ECOM-UAT-06-B</x:v>
      </x:c>
      <x:c r="C46" s="10" t="str">
        <x:v>ECOM-REQ-06</x:v>
      </x:c>
      <x:c r="D46" s="10" t="str">
        <x:v>Boundary / exception</x:v>
      </x:c>
      <x:c r="E46" s="10" t="str">
        <x:v>Use a disposable fixture for changed data; supplied source stays immutable. Application tests require a configured environment.</x:v>
      </x:c>
      <x:c r="F46" s="10" t="str">
        <x:v>Prepare a disposable case for this rule: Missing months must be shown in the proposed calendar; no fabricated zeros or prior-year comparisons. Re-run the applicable SQL or execute the control in the future configured application.</x:v>
      </x:c>
      <x:c r="G46" s="10" t="str">
        <x:v>Missing months must be shown in the proposed calendar; no fabricated zeros or prior-year comparisons.</x:v>
      </x:c>
      <x:c r="H46" s="11" t="str">
        <x:v>Not executed</x:v>
      </x:c>
      <x:c r="I46" s="11" t="str"/>
      <x:c r="J46" s="11" t="str"/>
      <x:c r="K46" s="11" t="str"/>
      <x:c r="L46" s="12" t="str"/>
      <x:c r="M46" s="12" t="str"/>
      <x:c r="N46" s="11" t="str"/>
      <x:c r="O46" s="11" t="str">
        <x:v>Pending</x:v>
      </x:c>
      <x:c r="P46" s="13" t="str">
        <x:f>IF(H46&lt;&gt;"Passed","Pending",IF(AND(LEN(I46)&gt;0,LEN(J46)&gt;0,LEN(K46)&gt;0,ISNUMBER(L46)),"Ready","Missing evidence"))</x:f>
        <x:v>Pending</x:v>
      </x:c>
      <x:c r="Q46" s="13" t="str">
        <x:f>IF(ISNUMBER(M46),IF(AND(M46&lt;Dashboard!$B$4,P46&lt;&gt;"Ready"),"Overdue","On track"),"No due date")</x:f>
        <x:v>No due date</x:v>
      </x:c>
    </x:row>
    <x:row r="47" ht="54" customHeight="1">
      <x:c r="A47" s="10" t="str">
        <x:v>ECOM</x:v>
      </x:c>
      <x:c r="B47" s="10" t="str">
        <x:v>ECOM-UAT-06-C</x:v>
      </x:c>
      <x:c r="C47" s="10" t="str">
        <x:v>ECOM-REQ-06</x:v>
      </x:c>
      <x:c r="D47" s="10" t="str">
        <x:v>Business review</x:v>
      </x:c>
      <x:c r="E47" s="10" t="str">
        <x:v>Use a disposable fixture for changed data; supplied source stays immutable. Application tests require a configured environment.</x:v>
      </x:c>
      <x:c r="F47" s="10" t="str">
        <x:v>Ask the Checkout Product Manager to review the labels, scope, evidence, and recommendation against ECOM-REQ-06.</x:v>
      </x:c>
      <x:c r="G47" s="10" t="str">
        <x:v>Owner records Approved / Rejected / Needs clarification with a reason and supporting evidence.</x:v>
      </x:c>
      <x:c r="H47" s="11" t="str">
        <x:v>Not executed</x:v>
      </x:c>
      <x:c r="I47" s="11" t="str"/>
      <x:c r="J47" s="11" t="str"/>
      <x:c r="K47" s="11" t="str"/>
      <x:c r="L47" s="12" t="str"/>
      <x:c r="M47" s="12" t="str"/>
      <x:c r="N47" s="11" t="str"/>
      <x:c r="O47" s="11" t="str">
        <x:v>Pending</x:v>
      </x:c>
      <x:c r="P47" s="13" t="str">
        <x:f>IF(H47&lt;&gt;"Passed","Pending",IF(AND(LEN(I47)&gt;0,LEN(J47)&gt;0,LEN(K47)&gt;0,ISNUMBER(L47)),"Ready","Missing evidence"))</x:f>
        <x:v>Pending</x:v>
      </x:c>
      <x:c r="Q47" s="13" t="str">
        <x:f>IF(ISNUMBER(M47),IF(AND(M47&lt;Dashboard!$B$4,P47&lt;&gt;"Ready"),"Overdue","On track"),"No due date")</x:f>
        <x:v>No due date</x:v>
      </x:c>
    </x:row>
    <x:row r="48" ht="54" customHeight="1">
      <x:c r="A48" s="10" t="str">
        <x:v>ECOM</x:v>
      </x:c>
      <x:c r="B48" s="10" t="str">
        <x:v>ECOM-UAT-07-A</x:v>
      </x:c>
      <x:c r="C48" s="10" t="str">
        <x:v>ECOM-REQ-07</x:v>
      </x:c>
      <x:c r="D48" s="10" t="str">
        <x:v>Acceptance</x:v>
      </x:c>
      <x:c r="E48" s="10" t="str">
        <x:v>Use a disposable fixture for changed data; supplied source stays immutable. Application tests require a configured environment.</x:v>
      </x:c>
      <x:c r="F48" s="10" t="str">
        <x:v>Review requirement ECOM-REQ-07; load the unchanged supplied source; inspect the proposed control and execute it in a future configured application.</x:v>
      </x:c>
      <x:c r="G48" s="10" t="str">
        <x:v>No claim of experiment success is made without assignment/exposure events; launch remains pending.</x:v>
      </x:c>
      <x:c r="H48" s="11" t="str">
        <x:v>Not executed</x:v>
      </x:c>
      <x:c r="I48" s="11" t="str"/>
      <x:c r="J48" s="11" t="str"/>
      <x:c r="K48" s="11" t="str"/>
      <x:c r="L48" s="12" t="str"/>
      <x:c r="M48" s="12" t="str"/>
      <x:c r="N48" s="11" t="str"/>
      <x:c r="O48" s="11" t="str">
        <x:v>Pending</x:v>
      </x:c>
      <x:c r="P48" s="13" t="str">
        <x:f>IF(H48&lt;&gt;"Passed","Pending",IF(AND(LEN(I48)&gt;0,LEN(J48)&gt;0,LEN(K48)&gt;0,ISNUMBER(L48)),"Ready","Missing evidence"))</x:f>
        <x:v>Pending</x:v>
      </x:c>
      <x:c r="Q48" s="13" t="str">
        <x:f>IF(ISNUMBER(M48),IF(AND(M48&lt;Dashboard!$B$4,P48&lt;&gt;"Ready"),"Overdue","On track"),"No due date")</x:f>
        <x:v>No due date</x:v>
      </x:c>
    </x:row>
    <x:row r="49" ht="68" customHeight="1">
      <x:c r="A49" s="10" t="str">
        <x:v>ECOM</x:v>
      </x:c>
      <x:c r="B49" s="10" t="str">
        <x:v>ECOM-UAT-07-B</x:v>
      </x:c>
      <x:c r="C49" s="10" t="str">
        <x:v>ECOM-REQ-07</x:v>
      </x:c>
      <x:c r="D49" s="10" t="str">
        <x:v>Boundary / exception</x:v>
      </x:c>
      <x:c r="E49" s="10" t="str">
        <x:v>Use a disposable fixture for changed data; supplied source stays immutable. Application tests require a configured environment.</x:v>
      </x:c>
      <x:c r="F49" s="10" t="str">
        <x:v>Prepare a disposable case for this rule: Exposure and assignment must exist before any A/B effect can be estimated. Re-run the applicable SQL or execute the control in the future configured application.</x:v>
      </x:c>
      <x:c r="G49" s="10" t="str">
        <x:v>Exposure and assignment must exist before any A/B effect can be estimated.</x:v>
      </x:c>
      <x:c r="H49" s="11" t="str">
        <x:v>Not executed</x:v>
      </x:c>
      <x:c r="I49" s="11" t="str"/>
      <x:c r="J49" s="11" t="str"/>
      <x:c r="K49" s="11" t="str"/>
      <x:c r="L49" s="12" t="str"/>
      <x:c r="M49" s="12" t="str"/>
      <x:c r="N49" s="11" t="str"/>
      <x:c r="O49" s="11" t="str">
        <x:v>Pending</x:v>
      </x:c>
      <x:c r="P49" s="13" t="str">
        <x:f>IF(H49&lt;&gt;"Passed","Pending",IF(AND(LEN(I49)&gt;0,LEN(J49)&gt;0,LEN(K49)&gt;0,ISNUMBER(L49)),"Ready","Missing evidence"))</x:f>
        <x:v>Pending</x:v>
      </x:c>
      <x:c r="Q49" s="13" t="str">
        <x:f>IF(ISNUMBER(M49),IF(AND(M49&lt;Dashboard!$B$4,P49&lt;&gt;"Ready"),"Overdue","On track"),"No due date")</x:f>
        <x:v>No due date</x:v>
      </x:c>
    </x:row>
    <x:row r="50" ht="54" customHeight="1">
      <x:c r="A50" s="10" t="str">
        <x:v>ECOM</x:v>
      </x:c>
      <x:c r="B50" s="10" t="str">
        <x:v>ECOM-UAT-07-C</x:v>
      </x:c>
      <x:c r="C50" s="10" t="str">
        <x:v>ECOM-REQ-07</x:v>
      </x:c>
      <x:c r="D50" s="10" t="str">
        <x:v>Business review</x:v>
      </x:c>
      <x:c r="E50" s="10" t="str">
        <x:v>Use a disposable fixture for changed data; supplied source stays immutable. Application tests require a configured environment.</x:v>
      </x:c>
      <x:c r="F50" s="10" t="str">
        <x:v>Ask the Checkout Product Manager to review the labels, scope, evidence, and recommendation against ECOM-REQ-07.</x:v>
      </x:c>
      <x:c r="G50" s="10" t="str">
        <x:v>Owner records Approved / Rejected / Needs clarification with a reason and supporting evidence.</x:v>
      </x:c>
      <x:c r="H50" s="11" t="str">
        <x:v>Not executed</x:v>
      </x:c>
      <x:c r="I50" s="11" t="str"/>
      <x:c r="J50" s="11" t="str"/>
      <x:c r="K50" s="11" t="str"/>
      <x:c r="L50" s="12" t="str"/>
      <x:c r="M50" s="12" t="str"/>
      <x:c r="N50" s="11" t="str"/>
      <x:c r="O50" s="11" t="str">
        <x:v>Pending</x:v>
      </x:c>
      <x:c r="P50" s="13" t="str">
        <x:f>IF(H50&lt;&gt;"Passed","Pending",IF(AND(LEN(I50)&gt;0,LEN(J50)&gt;0,LEN(K50)&gt;0,ISNUMBER(L50)),"Ready","Missing evidence"))</x:f>
        <x:v>Pending</x:v>
      </x:c>
      <x:c r="Q50" s="13" t="str">
        <x:f>IF(ISNUMBER(M50),IF(AND(M50&lt;Dashboard!$B$4,P50&lt;&gt;"Ready"),"Overdue","On track"),"No due date")</x:f>
        <x:v>No due date</x:v>
      </x:c>
    </x:row>
    <x:row r="51" ht="54" customHeight="1">
      <x:c r="A51" s="10" t="str">
        <x:v>ECOM</x:v>
      </x:c>
      <x:c r="B51" s="10" t="str">
        <x:v>ECOM-UAT-08-A</x:v>
      </x:c>
      <x:c r="C51" s="10" t="str">
        <x:v>ECOM-REQ-08</x:v>
      </x:c>
      <x:c r="D51" s="10" t="str">
        <x:v>Acceptance</x:v>
      </x:c>
      <x:c r="E51" s="10" t="str">
        <x:v>Use a disposable fixture for changed data; supplied source stays immutable. Application tests require a configured environment.</x:v>
      </x:c>
      <x:c r="F51" s="10" t="str">
        <x:v>Review requirement ECOM-REQ-08; load the unchanged supplied source; inspect the proposed control and execute it in a future configured application.</x:v>
      </x:c>
      <x:c r="G51" s="10" t="str">
        <x:v>Future design excludes raw contact data from analyst exports and requires a privacy review.</x:v>
      </x:c>
      <x:c r="H51" s="11" t="str">
        <x:v>Not executed</x:v>
      </x:c>
      <x:c r="I51" s="11" t="str"/>
      <x:c r="J51" s="11" t="str"/>
      <x:c r="K51" s="11" t="str"/>
      <x:c r="L51" s="12" t="str"/>
      <x:c r="M51" s="12" t="str"/>
      <x:c r="N51" s="11" t="str"/>
      <x:c r="O51" s="11" t="str">
        <x:v>Pending</x:v>
      </x:c>
      <x:c r="P51" s="13" t="str">
        <x:f>IF(H51&lt;&gt;"Passed","Pending",IF(AND(LEN(I51)&gt;0,LEN(J51)&gt;0,LEN(K51)&gt;0,ISNUMBER(L51)),"Ready","Missing evidence"))</x:f>
        <x:v>Pending</x:v>
      </x:c>
      <x:c r="Q51" s="13" t="str">
        <x:f>IF(ISNUMBER(M51),IF(AND(M51&lt;Dashboard!$B$4,P51&lt;&gt;"Ready"),"Overdue","On track"),"No due date")</x:f>
        <x:v>No due date</x:v>
      </x:c>
    </x:row>
    <x:row r="52" ht="68" customHeight="1">
      <x:c r="A52" s="10" t="str">
        <x:v>ECOM</x:v>
      </x:c>
      <x:c r="B52" s="10" t="str">
        <x:v>ECOM-UAT-08-B</x:v>
      </x:c>
      <x:c r="C52" s="10" t="str">
        <x:v>ECOM-REQ-08</x:v>
      </x:c>
      <x:c r="D52" s="10" t="str">
        <x:v>Boundary / exception</x:v>
      </x:c>
      <x:c r="E52" s="10" t="str">
        <x:v>Use a disposable fixture for changed data; supplied source stays immutable. Application tests require a configured environment.</x:v>
      </x:c>
      <x:c r="F52" s="10" t="str">
        <x:v>Prepare a disposable case for this rule: Future analyst exports must exclude direct identifiers and respect approved retention. Re-run the applicable SQL or execute the control in the future configured application.</x:v>
      </x:c>
      <x:c r="G52" s="10" t="str">
        <x:v>Future analyst exports must exclude direct identifiers and respect approved retention.</x:v>
      </x:c>
      <x:c r="H52" s="11" t="str">
        <x:v>Not executed</x:v>
      </x:c>
      <x:c r="I52" s="11" t="str"/>
      <x:c r="J52" s="11" t="str"/>
      <x:c r="K52" s="11" t="str"/>
      <x:c r="L52" s="12" t="str"/>
      <x:c r="M52" s="12" t="str"/>
      <x:c r="N52" s="11" t="str"/>
      <x:c r="O52" s="11" t="str">
        <x:v>Pending</x:v>
      </x:c>
      <x:c r="P52" s="13" t="str">
        <x:f>IF(H52&lt;&gt;"Passed","Pending",IF(AND(LEN(I52)&gt;0,LEN(J52)&gt;0,LEN(K52)&gt;0,ISNUMBER(L52)),"Ready","Missing evidence"))</x:f>
        <x:v>Pending</x:v>
      </x:c>
      <x:c r="Q52" s="13" t="str">
        <x:f>IF(ISNUMBER(M52),IF(AND(M52&lt;Dashboard!$B$4,P52&lt;&gt;"Ready"),"Overdue","On track"),"No due date")</x:f>
        <x:v>No due date</x:v>
      </x:c>
    </x:row>
    <x:row r="53" ht="54" customHeight="1">
      <x:c r="A53" s="10" t="str">
        <x:v>ECOM</x:v>
      </x:c>
      <x:c r="B53" s="10" t="str">
        <x:v>ECOM-UAT-08-C</x:v>
      </x:c>
      <x:c r="C53" s="10" t="str">
        <x:v>ECOM-REQ-08</x:v>
      </x:c>
      <x:c r="D53" s="10" t="str">
        <x:v>Business review</x:v>
      </x:c>
      <x:c r="E53" s="10" t="str">
        <x:v>Use a disposable fixture for changed data; supplied source stays immutable. Application tests require a configured environment.</x:v>
      </x:c>
      <x:c r="F53" s="10" t="str">
        <x:v>Ask the Checkout Product Manager to review the labels, scope, evidence, and recommendation against ECOM-REQ-08.</x:v>
      </x:c>
      <x:c r="G53" s="10" t="str">
        <x:v>Owner records Approved / Rejected / Needs clarification with a reason and supporting evidence.</x:v>
      </x:c>
      <x:c r="H53" s="11" t="str">
        <x:v>Not executed</x:v>
      </x:c>
      <x:c r="I53" s="11" t="str"/>
      <x:c r="J53" s="11" t="str"/>
      <x:c r="K53" s="11" t="str"/>
      <x:c r="L53" s="12" t="str"/>
      <x:c r="M53" s="12" t="str"/>
      <x:c r="N53" s="11" t="str"/>
      <x:c r="O53" s="11" t="str">
        <x:v>Pending</x:v>
      </x:c>
      <x:c r="P53" s="13" t="str">
        <x:f>IF(H53&lt;&gt;"Passed","Pending",IF(AND(LEN(I53)&gt;0,LEN(J53)&gt;0,LEN(K53)&gt;0,ISNUMBER(L53)),"Ready","Missing evidence"))</x:f>
        <x:v>Pending</x:v>
      </x:c>
      <x:c r="Q53" s="13" t="str">
        <x:f>IF(ISNUMBER(M53),IF(AND(M53&lt;Dashboard!$B$4,P53&lt;&gt;"Ready"),"Overdue","On track"),"No due date")</x:f>
        <x:v>No due date</x:v>
      </x:c>
    </x:row>
    <x:row r="54" ht="54" customHeight="1">
      <x:c r="A54" s="10" t="str">
        <x:v>FIN</x:v>
      </x:c>
      <x:c r="B54" s="10" t="str">
        <x:v>FIN-UAT-01-A</x:v>
      </x:c>
      <x:c r="C54" s="10" t="str">
        <x:v>FIN-REQ-01</x:v>
      </x:c>
      <x:c r="D54" s="10" t="str">
        <x:v>Acceptance</x:v>
      </x:c>
      <x:c r="E54" s="10" t="str">
        <x:v>Use a disposable fixture for changed data; supplied source stays immutable. Application tests require a configured environment.</x:v>
      </x:c>
      <x:c r="F54" s="10" t="str">
        <x:v>Review requirement FIN-REQ-01; load the unchanged supplied source; inspect Q01 result and independently recompute its control totals.</x:v>
      </x:c>
      <x:c r="G54" s="10" t="str">
        <x:v>All accepted rows have allowed scenario/category values and traceable source_row.</x:v>
      </x:c>
      <x:c r="H54" s="11" t="str">
        <x:v>Not executed</x:v>
      </x:c>
      <x:c r="I54" s="11" t="str"/>
      <x:c r="J54" s="11" t="str"/>
      <x:c r="K54" s="11" t="str"/>
      <x:c r="L54" s="12" t="str"/>
      <x:c r="M54" s="12" t="str"/>
      <x:c r="N54" s="11" t="str"/>
      <x:c r="O54" s="11" t="str">
        <x:v>Pending</x:v>
      </x:c>
      <x:c r="P54" s="13" t="str">
        <x:f>IF(H54&lt;&gt;"Passed","Pending",IF(AND(LEN(I54)&gt;0,LEN(J54)&gt;0,LEN(K54)&gt;0,ISNUMBER(L54)),"Ready","Missing evidence"))</x:f>
        <x:v>Pending</x:v>
      </x:c>
      <x:c r="Q54" s="13" t="str">
        <x:f>IF(ISNUMBER(M54),IF(AND(M54&lt;Dashboard!$B$4,P54&lt;&gt;"Ready"),"Overdue","On track"),"No due date")</x:f>
        <x:v>No due date</x:v>
      </x:c>
    </x:row>
    <x:row r="55" ht="68" customHeight="1">
      <x:c r="A55" s="10" t="str">
        <x:v>FIN</x:v>
      </x:c>
      <x:c r="B55" s="10" t="str">
        <x:v>FIN-UAT-01-B</x:v>
      </x:c>
      <x:c r="C55" s="10" t="str">
        <x:v>FIN-REQ-01</x:v>
      </x:c>
      <x:c r="D55" s="10" t="str">
        <x:v>Boundary / exception</x:v>
      </x:c>
      <x:c r="E55" s="10" t="str">
        <x:v>Use a disposable fixture for changed data; supplied source stays immutable. Application tests require a configured environment.</x:v>
      </x:c>
      <x:c r="F55" s="10" t="str">
        <x:v>Prepare a disposable case for this rule: Unknown account categories or scenarios require mapping review; no fallback to Revenue. Re-run the applicable SQL or execute the control in the future configured application.</x:v>
      </x:c>
      <x:c r="G55" s="10" t="str">
        <x:v>Unknown account categories or scenarios require mapping review; no fallback to Revenue.</x:v>
      </x:c>
      <x:c r="H55" s="11" t="str">
        <x:v>Not executed</x:v>
      </x:c>
      <x:c r="I55" s="11" t="str"/>
      <x:c r="J55" s="11" t="str"/>
      <x:c r="K55" s="11" t="str"/>
      <x:c r="L55" s="12" t="str"/>
      <x:c r="M55" s="12" t="str"/>
      <x:c r="N55" s="11" t="str"/>
      <x:c r="O55" s="11" t="str">
        <x:v>Pending</x:v>
      </x:c>
      <x:c r="P55" s="13" t="str">
        <x:f>IF(H55&lt;&gt;"Passed","Pending",IF(AND(LEN(I55)&gt;0,LEN(J55)&gt;0,LEN(K55)&gt;0,ISNUMBER(L55)),"Ready","Missing evidence"))</x:f>
        <x:v>Pending</x:v>
      </x:c>
      <x:c r="Q55" s="13" t="str">
        <x:f>IF(ISNUMBER(M55),IF(AND(M55&lt;Dashboard!$B$4,P55&lt;&gt;"Ready"),"Overdue","On track"),"No due date")</x:f>
        <x:v>No due date</x:v>
      </x:c>
    </x:row>
    <x:row r="56" ht="54" customHeight="1">
      <x:c r="A56" s="10" t="str">
        <x:v>FIN</x:v>
      </x:c>
      <x:c r="B56" s="10" t="str">
        <x:v>FIN-UAT-01-C</x:v>
      </x:c>
      <x:c r="C56" s="10" t="str">
        <x:v>FIN-REQ-01</x:v>
      </x:c>
      <x:c r="D56" s="10" t="str">
        <x:v>Business review</x:v>
      </x:c>
      <x:c r="E56" s="10" t="str">
        <x:v>Use a disposable fixture for changed data; supplied source stays immutable. Application tests require a configured environment.</x:v>
      </x:c>
      <x:c r="F56" s="10" t="str">
        <x:v>Ask the FP&amp;A Manager to review the labels, scope, evidence, and recommendation against FIN-REQ-01.</x:v>
      </x:c>
      <x:c r="G56" s="10" t="str">
        <x:v>Owner records Approved / Rejected / Needs clarification with a reason and supporting evidence.</x:v>
      </x:c>
      <x:c r="H56" s="11" t="str">
        <x:v>Not executed</x:v>
      </x:c>
      <x:c r="I56" s="11" t="str"/>
      <x:c r="J56" s="11" t="str"/>
      <x:c r="K56" s="11" t="str"/>
      <x:c r="L56" s="12" t="str"/>
      <x:c r="M56" s="12" t="str"/>
      <x:c r="N56" s="11" t="str"/>
      <x:c r="O56" s="11" t="str">
        <x:v>Pending</x:v>
      </x:c>
      <x:c r="P56" s="13" t="str">
        <x:f>IF(H56&lt;&gt;"Passed","Pending",IF(AND(LEN(I56)&gt;0,LEN(J56)&gt;0,LEN(K56)&gt;0,ISNUMBER(L56)),"Ready","Missing evidence"))</x:f>
        <x:v>Pending</x:v>
      </x:c>
      <x:c r="Q56" s="13" t="str">
        <x:f>IF(ISNUMBER(M56),IF(AND(M56&lt;Dashboard!$B$4,P56&lt;&gt;"Ready"),"Overdue","On track"),"No due date")</x:f>
        <x:v>No due date</x:v>
      </x:c>
    </x:row>
    <x:row r="57" ht="54" customHeight="1">
      <x:c r="A57" s="10" t="str">
        <x:v>FIN</x:v>
      </x:c>
      <x:c r="B57" s="10" t="str">
        <x:v>FIN-UAT-02-A</x:v>
      </x:c>
      <x:c r="C57" s="10" t="str">
        <x:v>FIN-REQ-02</x:v>
      </x:c>
      <x:c r="D57" s="10" t="str">
        <x:v>Acceptance</x:v>
      </x:c>
      <x:c r="E57" s="10" t="str">
        <x:v>Use a disposable fixture for changed data; supplied source stays immutable. Application tests require a configured environment.</x:v>
      </x:c>
      <x:c r="F57" s="10" t="str">
        <x:v>Review requirement FIN-REQ-02; load the unchanged supplied source; inspect Q02 result and independently recompute its control totals.</x:v>
      </x:c>
      <x:c r="G57" s="10" t="str">
        <x:v>Actual and budget reconcile separately; zero budget returns null rate.</x:v>
      </x:c>
      <x:c r="H57" s="11" t="str">
        <x:v>Not executed</x:v>
      </x:c>
      <x:c r="I57" s="11" t="str"/>
      <x:c r="J57" s="11" t="str"/>
      <x:c r="K57" s="11" t="str"/>
      <x:c r="L57" s="12" t="str"/>
      <x:c r="M57" s="12" t="str"/>
      <x:c r="N57" s="11" t="str"/>
      <x:c r="O57" s="11" t="str">
        <x:v>Pending</x:v>
      </x:c>
      <x:c r="P57" s="13" t="str">
        <x:f>IF(H57&lt;&gt;"Passed","Pending",IF(AND(LEN(I57)&gt;0,LEN(J57)&gt;0,LEN(K57)&gt;0,ISNUMBER(L57)),"Ready","Missing evidence"))</x:f>
        <x:v>Pending</x:v>
      </x:c>
      <x:c r="Q57" s="13" t="str">
        <x:f>IF(ISNUMBER(M57),IF(AND(M57&lt;Dashboard!$B$4,P57&lt;&gt;"Ready"),"Overdue","On track"),"No due date")</x:f>
        <x:v>No due date</x:v>
      </x:c>
    </x:row>
    <x:row r="58" ht="68" customHeight="1">
      <x:c r="A58" s="10" t="str">
        <x:v>FIN</x:v>
      </x:c>
      <x:c r="B58" s="10" t="str">
        <x:v>FIN-UAT-02-B</x:v>
      </x:c>
      <x:c r="C58" s="10" t="str">
        <x:v>FIN-REQ-02</x:v>
      </x:c>
      <x:c r="D58" s="10" t="str">
        <x:v>Boundary / exception</x:v>
      </x:c>
      <x:c r="E58" s="10" t="str">
        <x:v>Use a disposable fixture for changed data; supplied source stays immutable. Application tests require a configured environment.</x:v>
      </x:c>
      <x:c r="F58" s="10" t="str">
        <x:v>Prepare a disposable case for this rule: Zero budget produces undefined percentage variance; absent budget is an exception rather than a zero budget. Re-run the applicable SQL or execute the control in the future configured application.</x:v>
      </x:c>
      <x:c r="G58" s="10" t="str">
        <x:v>Zero budget produces undefined percentage variance; absent budget is an exception rather than a zero budget.</x:v>
      </x:c>
      <x:c r="H58" s="11" t="str">
        <x:v>Not executed</x:v>
      </x:c>
      <x:c r="I58" s="11" t="str"/>
      <x:c r="J58" s="11" t="str"/>
      <x:c r="K58" s="11" t="str"/>
      <x:c r="L58" s="12" t="str"/>
      <x:c r="M58" s="12" t="str"/>
      <x:c r="N58" s="11" t="str"/>
      <x:c r="O58" s="11" t="str">
        <x:v>Pending</x:v>
      </x:c>
      <x:c r="P58" s="13" t="str">
        <x:f>IF(H58&lt;&gt;"Passed","Pending",IF(AND(LEN(I58)&gt;0,LEN(J58)&gt;0,LEN(K58)&gt;0,ISNUMBER(L58)),"Ready","Missing evidence"))</x:f>
        <x:v>Pending</x:v>
      </x:c>
      <x:c r="Q58" s="13" t="str">
        <x:f>IF(ISNUMBER(M58),IF(AND(M58&lt;Dashboard!$B$4,P58&lt;&gt;"Ready"),"Overdue","On track"),"No due date")</x:f>
        <x:v>No due date</x:v>
      </x:c>
    </x:row>
    <x:row r="59" ht="54" customHeight="1">
      <x:c r="A59" s="10" t="str">
        <x:v>FIN</x:v>
      </x:c>
      <x:c r="B59" s="10" t="str">
        <x:v>FIN-UAT-02-C</x:v>
      </x:c>
      <x:c r="C59" s="10" t="str">
        <x:v>FIN-REQ-02</x:v>
      </x:c>
      <x:c r="D59" s="10" t="str">
        <x:v>Business review</x:v>
      </x:c>
      <x:c r="E59" s="10" t="str">
        <x:v>Use a disposable fixture for changed data; supplied source stays immutable. Application tests require a configured environment.</x:v>
      </x:c>
      <x:c r="F59" s="10" t="str">
        <x:v>Ask the FP&amp;A Manager to review the labels, scope, evidence, and recommendation against FIN-REQ-02.</x:v>
      </x:c>
      <x:c r="G59" s="10" t="str">
        <x:v>Owner records Approved / Rejected / Needs clarification with a reason and supporting evidence.</x:v>
      </x:c>
      <x:c r="H59" s="11" t="str">
        <x:v>Not executed</x:v>
      </x:c>
      <x:c r="I59" s="11" t="str"/>
      <x:c r="J59" s="11" t="str"/>
      <x:c r="K59" s="11" t="str"/>
      <x:c r="L59" s="12" t="str"/>
      <x:c r="M59" s="12" t="str"/>
      <x:c r="N59" s="11" t="str"/>
      <x:c r="O59" s="11" t="str">
        <x:v>Pending</x:v>
      </x:c>
      <x:c r="P59" s="13" t="str">
        <x:f>IF(H59&lt;&gt;"Passed","Pending",IF(AND(LEN(I59)&gt;0,LEN(J59)&gt;0,LEN(K59)&gt;0,ISNUMBER(L59)),"Ready","Missing evidence"))</x:f>
        <x:v>Pending</x:v>
      </x:c>
      <x:c r="Q59" s="13" t="str">
        <x:f>IF(ISNUMBER(M59),IF(AND(M59&lt;Dashboard!$B$4,P59&lt;&gt;"Ready"),"Overdue","On track"),"No due date")</x:f>
        <x:v>No due date</x:v>
      </x:c>
    </x:row>
    <x:row r="60" ht="54" customHeight="1">
      <x:c r="A60" s="10" t="str">
        <x:v>FIN</x:v>
      </x:c>
      <x:c r="B60" s="10" t="str">
        <x:v>FIN-UAT-03-A</x:v>
      </x:c>
      <x:c r="C60" s="10" t="str">
        <x:v>FIN-REQ-03</x:v>
      </x:c>
      <x:c r="D60" s="10" t="str">
        <x:v>Acceptance</x:v>
      </x:c>
      <x:c r="E60" s="10" t="str">
        <x:v>Use a disposable fixture for changed data; supplied source stays immutable. Application tests require a configured environment.</x:v>
      </x:c>
      <x:c r="F60" s="10" t="str">
        <x:v>Review requirement FIN-REQ-03; load the unchanged supplied source; inspect Q02 result and independently recompute its control totals.</x:v>
      </x:c>
      <x:c r="G60" s="10" t="str">
        <x:v>A fixed fixture produces the expected operating income and weighted gross margin.</x:v>
      </x:c>
      <x:c r="H60" s="11" t="str">
        <x:v>Not executed</x:v>
      </x:c>
      <x:c r="I60" s="11" t="str"/>
      <x:c r="J60" s="11" t="str"/>
      <x:c r="K60" s="11" t="str"/>
      <x:c r="L60" s="12" t="str"/>
      <x:c r="M60" s="12" t="str"/>
      <x:c r="N60" s="11" t="str"/>
      <x:c r="O60" s="11" t="str">
        <x:v>Pending</x:v>
      </x:c>
      <x:c r="P60" s="13" t="str">
        <x:f>IF(H60&lt;&gt;"Passed","Pending",IF(AND(LEN(I60)&gt;0,LEN(J60)&gt;0,LEN(K60)&gt;0,ISNUMBER(L60)),"Ready","Missing evidence"))</x:f>
        <x:v>Pending</x:v>
      </x:c>
      <x:c r="Q60" s="13" t="str">
        <x:f>IF(ISNUMBER(M60),IF(AND(M60&lt;Dashboard!$B$4,P60&lt;&gt;"Ready"),"Overdue","On track"),"No due date")</x:f>
        <x:v>No due date</x:v>
      </x:c>
    </x:row>
    <x:row r="61" ht="68" customHeight="1">
      <x:c r="A61" s="10" t="str">
        <x:v>FIN</x:v>
      </x:c>
      <x:c r="B61" s="10" t="str">
        <x:v>FIN-UAT-03-B</x:v>
      </x:c>
      <x:c r="C61" s="10" t="str">
        <x:v>FIN-REQ-03</x:v>
      </x:c>
      <x:c r="D61" s="10" t="str">
        <x:v>Boundary / exception</x:v>
      </x:c>
      <x:c r="E61" s="10" t="str">
        <x:v>Use a disposable fixture for changed data; supplied source stays immutable. Application tests require a configured environment.</x:v>
      </x:c>
      <x:c r="F61" s="10" t="str">
        <x:v>Prepare a disposable case for this rule: Subtract positive costs; do not mix summary-derived operating income with fact-derived totals. Re-run the applicable SQL or execute the control in the future configured application.</x:v>
      </x:c>
      <x:c r="G61" s="10" t="str">
        <x:v>Subtract positive costs; do not mix summary-derived operating income with fact-derived totals.</x:v>
      </x:c>
      <x:c r="H61" s="11" t="str">
        <x:v>Not executed</x:v>
      </x:c>
      <x:c r="I61" s="11" t="str"/>
      <x:c r="J61" s="11" t="str"/>
      <x:c r="K61" s="11" t="str"/>
      <x:c r="L61" s="12" t="str"/>
      <x:c r="M61" s="12" t="str"/>
      <x:c r="N61" s="11" t="str"/>
      <x:c r="O61" s="11" t="str">
        <x:v>Pending</x:v>
      </x:c>
      <x:c r="P61" s="13" t="str">
        <x:f>IF(H61&lt;&gt;"Passed","Pending",IF(AND(LEN(I61)&gt;0,LEN(J61)&gt;0,LEN(K61)&gt;0,ISNUMBER(L61)),"Ready","Missing evidence"))</x:f>
        <x:v>Pending</x:v>
      </x:c>
      <x:c r="Q61" s="13" t="str">
        <x:f>IF(ISNUMBER(M61),IF(AND(M61&lt;Dashboard!$B$4,P61&lt;&gt;"Ready"),"Overdue","On track"),"No due date")</x:f>
        <x:v>No due date</x:v>
      </x:c>
    </x:row>
    <x:row r="62" ht="54" customHeight="1">
      <x:c r="A62" s="10" t="str">
        <x:v>FIN</x:v>
      </x:c>
      <x:c r="B62" s="10" t="str">
        <x:v>FIN-UAT-03-C</x:v>
      </x:c>
      <x:c r="C62" s="10" t="str">
        <x:v>FIN-REQ-03</x:v>
      </x:c>
      <x:c r="D62" s="10" t="str">
        <x:v>Business review</x:v>
      </x:c>
      <x:c r="E62" s="10" t="str">
        <x:v>Use a disposable fixture for changed data; supplied source stays immutable. Application tests require a configured environment.</x:v>
      </x:c>
      <x:c r="F62" s="10" t="str">
        <x:v>Ask the FP&amp;A Manager to review the labels, scope, evidence, and recommendation against FIN-REQ-03.</x:v>
      </x:c>
      <x:c r="G62" s="10" t="str">
        <x:v>Owner records Approved / Rejected / Needs clarification with a reason and supporting evidence.</x:v>
      </x:c>
      <x:c r="H62" s="11" t="str">
        <x:v>Not executed</x:v>
      </x:c>
      <x:c r="I62" s="11" t="str"/>
      <x:c r="J62" s="11" t="str"/>
      <x:c r="K62" s="11" t="str"/>
      <x:c r="L62" s="12" t="str"/>
      <x:c r="M62" s="12" t="str"/>
      <x:c r="N62" s="11" t="str"/>
      <x:c r="O62" s="11" t="str">
        <x:v>Pending</x:v>
      </x:c>
      <x:c r="P62" s="13" t="str">
        <x:f>IF(H62&lt;&gt;"Passed","Pending",IF(AND(LEN(I62)&gt;0,LEN(J62)&gt;0,LEN(K62)&gt;0,ISNUMBER(L62)),"Ready","Missing evidence"))</x:f>
        <x:v>Pending</x:v>
      </x:c>
      <x:c r="Q62" s="13" t="str">
        <x:f>IF(ISNUMBER(M62),IF(AND(M62&lt;Dashboard!$B$4,P62&lt;&gt;"Ready"),"Overdue","On track"),"No due date")</x:f>
        <x:v>No due date</x:v>
      </x:c>
    </x:row>
    <x:row r="63" ht="54" customHeight="1">
      <x:c r="A63" s="10" t="str">
        <x:v>FIN</x:v>
      </x:c>
      <x:c r="B63" s="10" t="str">
        <x:v>FIN-UAT-04-A</x:v>
      </x:c>
      <x:c r="C63" s="10" t="str">
        <x:v>FIN-REQ-04</x:v>
      </x:c>
      <x:c r="D63" s="10" t="str">
        <x:v>Acceptance</x:v>
      </x:c>
      <x:c r="E63" s="10" t="str">
        <x:v>Use a disposable fixture for changed data; supplied source stays immutable. Application tests require a configured environment.</x:v>
      </x:c>
      <x:c r="F63" s="10" t="str">
        <x:v>Review requirement FIN-REQ-04; load the unchanged supplied source; inspect Q03 result and independently recompute its control totals.</x:v>
      </x:c>
      <x:c r="G63" s="10" t="str">
        <x:v>Department variances sum to the overall variance; no percentage averages are used.</x:v>
      </x:c>
      <x:c r="H63" s="11" t="str">
        <x:v>Not executed</x:v>
      </x:c>
      <x:c r="I63" s="11" t="str"/>
      <x:c r="J63" s="11" t="str"/>
      <x:c r="K63" s="11" t="str"/>
      <x:c r="L63" s="12" t="str"/>
      <x:c r="M63" s="12" t="str"/>
      <x:c r="N63" s="11" t="str"/>
      <x:c r="O63" s="11" t="str">
        <x:v>Pending</x:v>
      </x:c>
      <x:c r="P63" s="13" t="str">
        <x:f>IF(H63&lt;&gt;"Passed","Pending",IF(AND(LEN(I63)&gt;0,LEN(J63)&gt;0,LEN(K63)&gt;0,ISNUMBER(L63)),"Ready","Missing evidence"))</x:f>
        <x:v>Pending</x:v>
      </x:c>
      <x:c r="Q63" s="13" t="str">
        <x:f>IF(ISNUMBER(M63),IF(AND(M63&lt;Dashboard!$B$4,P63&lt;&gt;"Ready"),"Overdue","On track"),"No due date")</x:f>
        <x:v>No due date</x:v>
      </x:c>
    </x:row>
    <x:row r="64" ht="68" customHeight="1">
      <x:c r="A64" s="10" t="str">
        <x:v>FIN</x:v>
      </x:c>
      <x:c r="B64" s="10" t="str">
        <x:v>FIN-UAT-04-B</x:v>
      </x:c>
      <x:c r="C64" s="10" t="str">
        <x:v>FIN-REQ-04</x:v>
      </x:c>
      <x:c r="D64" s="10" t="str">
        <x:v>Boundary / exception</x:v>
      </x:c>
      <x:c r="E64" s="10" t="str">
        <x:v>Use a disposable fixture for changed data; supplied source stays immutable. Application tests require a configured environment.</x:v>
      </x:c>
      <x:c r="F64" s="10" t="str">
        <x:v>Prepare a disposable case for this rule: Department variance totals reconcile while department variance percentages are not additive. Re-run the applicable SQL or execute the control in the future configured application.</x:v>
      </x:c>
      <x:c r="G64" s="10" t="str">
        <x:v>Department variance totals reconcile while department variance percentages are not additive.</x:v>
      </x:c>
      <x:c r="H64" s="11" t="str">
        <x:v>Not executed</x:v>
      </x:c>
      <x:c r="I64" s="11" t="str"/>
      <x:c r="J64" s="11" t="str"/>
      <x:c r="K64" s="11" t="str"/>
      <x:c r="L64" s="12" t="str"/>
      <x:c r="M64" s="12" t="str"/>
      <x:c r="N64" s="11" t="str"/>
      <x:c r="O64" s="11" t="str">
        <x:v>Pending</x:v>
      </x:c>
      <x:c r="P64" s="13" t="str">
        <x:f>IF(H64&lt;&gt;"Passed","Pending",IF(AND(LEN(I64)&gt;0,LEN(J64)&gt;0,LEN(K64)&gt;0,ISNUMBER(L64)),"Ready","Missing evidence"))</x:f>
        <x:v>Pending</x:v>
      </x:c>
      <x:c r="Q64" s="13" t="str">
        <x:f>IF(ISNUMBER(M64),IF(AND(M64&lt;Dashboard!$B$4,P64&lt;&gt;"Ready"),"Overdue","On track"),"No due date")</x:f>
        <x:v>No due date</x:v>
      </x:c>
    </x:row>
    <x:row r="65" ht="54" customHeight="1">
      <x:c r="A65" s="10" t="str">
        <x:v>FIN</x:v>
      </x:c>
      <x:c r="B65" s="10" t="str">
        <x:v>FIN-UAT-04-C</x:v>
      </x:c>
      <x:c r="C65" s="10" t="str">
        <x:v>FIN-REQ-04</x:v>
      </x:c>
      <x:c r="D65" s="10" t="str">
        <x:v>Business review</x:v>
      </x:c>
      <x:c r="E65" s="10" t="str">
        <x:v>Use a disposable fixture for changed data; supplied source stays immutable. Application tests require a configured environment.</x:v>
      </x:c>
      <x:c r="F65" s="10" t="str">
        <x:v>Ask the FP&amp;A Manager to review the labels, scope, evidence, and recommendation against FIN-REQ-04.</x:v>
      </x:c>
      <x:c r="G65" s="10" t="str">
        <x:v>Owner records Approved / Rejected / Needs clarification with a reason and supporting evidence.</x:v>
      </x:c>
      <x:c r="H65" s="11" t="str">
        <x:v>Not executed</x:v>
      </x:c>
      <x:c r="I65" s="11" t="str"/>
      <x:c r="J65" s="11" t="str"/>
      <x:c r="K65" s="11" t="str"/>
      <x:c r="L65" s="12" t="str"/>
      <x:c r="M65" s="12" t="str"/>
      <x:c r="N65" s="11" t="str"/>
      <x:c r="O65" s="11" t="str">
        <x:v>Pending</x:v>
      </x:c>
      <x:c r="P65" s="13" t="str">
        <x:f>IF(H65&lt;&gt;"Passed","Pending",IF(AND(LEN(I65)&gt;0,LEN(J65)&gt;0,LEN(K65)&gt;0,ISNUMBER(L65)),"Ready","Missing evidence"))</x:f>
        <x:v>Pending</x:v>
      </x:c>
      <x:c r="Q65" s="13" t="str">
        <x:f>IF(ISNUMBER(M65),IF(AND(M65&lt;Dashboard!$B$4,P65&lt;&gt;"Ready"),"Overdue","On track"),"No due date")</x:f>
        <x:v>No due date</x:v>
      </x:c>
    </x:row>
    <x:row r="66" ht="54" customHeight="1">
      <x:c r="A66" s="10" t="str">
        <x:v>FIN</x:v>
      </x:c>
      <x:c r="B66" s="10" t="str">
        <x:v>FIN-UAT-05-A</x:v>
      </x:c>
      <x:c r="C66" s="10" t="str">
        <x:v>FIN-REQ-05</x:v>
      </x:c>
      <x:c r="D66" s="10" t="str">
        <x:v>Acceptance</x:v>
      </x:c>
      <x:c r="E66" s="10" t="str">
        <x:v>Use a disposable fixture for changed data; supplied source stays immutable. Application tests require a configured environment.</x:v>
      </x:c>
      <x:c r="F66" s="10" t="str">
        <x:v>Review requirement FIN-REQ-05; load the unchanged supplied source; inspect Q04 result and independently recompute its control totals.</x:v>
      </x:c>
      <x:c r="G66" s="10" t="str">
        <x:v>Every difference above $0.01 is listed; unresolved differences block close approval.</x:v>
      </x:c>
      <x:c r="H66" s="11" t="str">
        <x:v>Not executed</x:v>
      </x:c>
      <x:c r="I66" s="11" t="str"/>
      <x:c r="J66" s="11" t="str"/>
      <x:c r="K66" s="11" t="str"/>
      <x:c r="L66" s="12" t="str"/>
      <x:c r="M66" s="12" t="str"/>
      <x:c r="N66" s="11" t="str"/>
      <x:c r="O66" s="11" t="str">
        <x:v>Pending</x:v>
      </x:c>
      <x:c r="P66" s="13" t="str">
        <x:f>IF(H66&lt;&gt;"Passed","Pending",IF(AND(LEN(I66)&gt;0,LEN(J66)&gt;0,LEN(K66)&gt;0,ISNUMBER(L66)),"Ready","Missing evidence"))</x:f>
        <x:v>Pending</x:v>
      </x:c>
      <x:c r="Q66" s="13" t="str">
        <x:f>IF(ISNUMBER(M66),IF(AND(M66&lt;Dashboard!$B$4,P66&lt;&gt;"Ready"),"Overdue","On track"),"No due date")</x:f>
        <x:v>No due date</x:v>
      </x:c>
    </x:row>
    <x:row r="67" ht="68" customHeight="1">
      <x:c r="A67" s="10" t="str">
        <x:v>FIN</x:v>
      </x:c>
      <x:c r="B67" s="10" t="str">
        <x:v>FIN-UAT-05-B</x:v>
      </x:c>
      <x:c r="C67" s="10" t="str">
        <x:v>FIN-REQ-05</x:v>
      </x:c>
      <x:c r="D67" s="10" t="str">
        <x:v>Boundary / exception</x:v>
      </x:c>
      <x:c r="E67" s="10" t="str">
        <x:v>Use a disposable fixture for changed data; supplied source stays immutable. Application tests require a configured environment.</x:v>
      </x:c>
      <x:c r="F67" s="10" t="str">
        <x:v>Prepare a disposable case for this rule: Missing source and nonzero discrepancies remain unresolved; do not average or overwrite either extract. Re-run the applicable SQL or execute the control in the future configured application.</x:v>
      </x:c>
      <x:c r="G67" s="10" t="str">
        <x:v>Missing source and nonzero discrepancies remain unresolved; do not average or overwrite either extract.</x:v>
      </x:c>
      <x:c r="H67" s="11" t="str">
        <x:v>Not executed</x:v>
      </x:c>
      <x:c r="I67" s="11" t="str"/>
      <x:c r="J67" s="11" t="str"/>
      <x:c r="K67" s="11" t="str"/>
      <x:c r="L67" s="12" t="str"/>
      <x:c r="M67" s="12" t="str"/>
      <x:c r="N67" s="11" t="str"/>
      <x:c r="O67" s="11" t="str">
        <x:v>Pending</x:v>
      </x:c>
      <x:c r="P67" s="13" t="str">
        <x:f>IF(H67&lt;&gt;"Passed","Pending",IF(AND(LEN(I67)&gt;0,LEN(J67)&gt;0,LEN(K67)&gt;0,ISNUMBER(L67)),"Ready","Missing evidence"))</x:f>
        <x:v>Pending</x:v>
      </x:c>
      <x:c r="Q67" s="13" t="str">
        <x:f>IF(ISNUMBER(M67),IF(AND(M67&lt;Dashboard!$B$4,P67&lt;&gt;"Ready"),"Overdue","On track"),"No due date")</x:f>
        <x:v>No due date</x:v>
      </x:c>
    </x:row>
    <x:row r="68" ht="54" customHeight="1">
      <x:c r="A68" s="10" t="str">
        <x:v>FIN</x:v>
      </x:c>
      <x:c r="B68" s="10" t="str">
        <x:v>FIN-UAT-05-C</x:v>
      </x:c>
      <x:c r="C68" s="10" t="str">
        <x:v>FIN-REQ-05</x:v>
      </x:c>
      <x:c r="D68" s="10" t="str">
        <x:v>Business review</x:v>
      </x:c>
      <x:c r="E68" s="10" t="str">
        <x:v>Use a disposable fixture for changed data; supplied source stays immutable. Application tests require a configured environment.</x:v>
      </x:c>
      <x:c r="F68" s="10" t="str">
        <x:v>Ask the FP&amp;A Manager to review the labels, scope, evidence, and recommendation against FIN-REQ-05.</x:v>
      </x:c>
      <x:c r="G68" s="10" t="str">
        <x:v>Owner records Approved / Rejected / Needs clarification with a reason and supporting evidence.</x:v>
      </x:c>
      <x:c r="H68" s="11" t="str">
        <x:v>Not executed</x:v>
      </x:c>
      <x:c r="I68" s="11" t="str"/>
      <x:c r="J68" s="11" t="str"/>
      <x:c r="K68" s="11" t="str"/>
      <x:c r="L68" s="12" t="str"/>
      <x:c r="M68" s="12" t="str"/>
      <x:c r="N68" s="11" t="str"/>
      <x:c r="O68" s="11" t="str">
        <x:v>Pending</x:v>
      </x:c>
      <x:c r="P68" s="13" t="str">
        <x:f>IF(H68&lt;&gt;"Passed","Pending",IF(AND(LEN(I68)&gt;0,LEN(J68)&gt;0,LEN(K68)&gt;0,ISNUMBER(L68)),"Ready","Missing evidence"))</x:f>
        <x:v>Pending</x:v>
      </x:c>
      <x:c r="Q68" s="13" t="str">
        <x:f>IF(ISNUMBER(M68),IF(AND(M68&lt;Dashboard!$B$4,P68&lt;&gt;"Ready"),"Overdue","On track"),"No due date")</x:f>
        <x:v>No due date</x:v>
      </x:c>
    </x:row>
    <x:row r="69" ht="54" customHeight="1">
      <x:c r="A69" s="10" t="str">
        <x:v>FIN</x:v>
      </x:c>
      <x:c r="B69" s="10" t="str">
        <x:v>FIN-UAT-06-A</x:v>
      </x:c>
      <x:c r="C69" s="10" t="str">
        <x:v>FIN-REQ-06</x:v>
      </x:c>
      <x:c r="D69" s="10" t="str">
        <x:v>Acceptance</x:v>
      </x:c>
      <x:c r="E69" s="10" t="str">
        <x:v>Use a disposable fixture for changed data; supplied source stays immutable. Application tests require a configured environment.</x:v>
      </x:c>
      <x:c r="F69" s="10" t="str">
        <x:v>Review requirement FIN-REQ-06; load the unchanged supplied source; inspect Q01 result and independently recompute its control totals.</x:v>
      </x:c>
      <x:c r="G69" s="10" t="str">
        <x:v>A rebuilt run produces identical totals for identical input hashes.</x:v>
      </x:c>
      <x:c r="H69" s="11" t="str">
        <x:v>Not executed</x:v>
      </x:c>
      <x:c r="I69" s="11" t="str"/>
      <x:c r="J69" s="11" t="str"/>
      <x:c r="K69" s="11" t="str"/>
      <x:c r="L69" s="12" t="str"/>
      <x:c r="M69" s="12" t="str"/>
      <x:c r="N69" s="11" t="str"/>
      <x:c r="O69" s="11" t="str">
        <x:v>Pending</x:v>
      </x:c>
      <x:c r="P69" s="13" t="str">
        <x:f>IF(H69&lt;&gt;"Passed","Pending",IF(AND(LEN(I69)&gt;0,LEN(J69)&gt;0,LEN(K69)&gt;0,ISNUMBER(L69)),"Ready","Missing evidence"))</x:f>
        <x:v>Pending</x:v>
      </x:c>
      <x:c r="Q69" s="13" t="str">
        <x:f>IF(ISNUMBER(M69),IF(AND(M69&lt;Dashboard!$B$4,P69&lt;&gt;"Ready"),"Overdue","On track"),"No due date")</x:f>
        <x:v>No due date</x:v>
      </x:c>
    </x:row>
    <x:row r="70" ht="68" customHeight="1">
      <x:c r="A70" s="10" t="str">
        <x:v>FIN</x:v>
      </x:c>
      <x:c r="B70" s="10" t="str">
        <x:v>FIN-UAT-06-B</x:v>
      </x:c>
      <x:c r="C70" s="10" t="str">
        <x:v>FIN-REQ-06</x:v>
      </x:c>
      <x:c r="D70" s="10" t="str">
        <x:v>Boundary / exception</x:v>
      </x:c>
      <x:c r="E70" s="10" t="str">
        <x:v>Use a disposable fixture for changed data; supplied source stays immutable. Application tests require a configured environment.</x:v>
      </x:c>
      <x:c r="F70" s="10" t="str">
        <x:v>Prepare a disposable case for this rule: Identical input hashes produce equal control totals; new files require a new close version. Re-run the applicable SQL or execute the control in the future configured application.</x:v>
      </x:c>
      <x:c r="G70" s="10" t="str">
        <x:v>Identical input hashes produce equal control totals; new files require a new close version.</x:v>
      </x:c>
      <x:c r="H70" s="11" t="str">
        <x:v>Not executed</x:v>
      </x:c>
      <x:c r="I70" s="11" t="str"/>
      <x:c r="J70" s="11" t="str"/>
      <x:c r="K70" s="11" t="str"/>
      <x:c r="L70" s="12" t="str"/>
      <x:c r="M70" s="12" t="str"/>
      <x:c r="N70" s="11" t="str"/>
      <x:c r="O70" s="11" t="str">
        <x:v>Pending</x:v>
      </x:c>
      <x:c r="P70" s="13" t="str">
        <x:f>IF(H70&lt;&gt;"Passed","Pending",IF(AND(LEN(I70)&gt;0,LEN(J70)&gt;0,LEN(K70)&gt;0,ISNUMBER(L70)),"Ready","Missing evidence"))</x:f>
        <x:v>Pending</x:v>
      </x:c>
      <x:c r="Q70" s="13" t="str">
        <x:f>IF(ISNUMBER(M70),IF(AND(M70&lt;Dashboard!$B$4,P70&lt;&gt;"Ready"),"Overdue","On track"),"No due date")</x:f>
        <x:v>No due date</x:v>
      </x:c>
    </x:row>
    <x:row r="71" ht="54" customHeight="1">
      <x:c r="A71" s="10" t="str">
        <x:v>FIN</x:v>
      </x:c>
      <x:c r="B71" s="10" t="str">
        <x:v>FIN-UAT-06-C</x:v>
      </x:c>
      <x:c r="C71" s="10" t="str">
        <x:v>FIN-REQ-06</x:v>
      </x:c>
      <x:c r="D71" s="10" t="str">
        <x:v>Business review</x:v>
      </x:c>
      <x:c r="E71" s="10" t="str">
        <x:v>Use a disposable fixture for changed data; supplied source stays immutable. Application tests require a configured environment.</x:v>
      </x:c>
      <x:c r="F71" s="10" t="str">
        <x:v>Ask the FP&amp;A Manager to review the labels, scope, evidence, and recommendation against FIN-REQ-06.</x:v>
      </x:c>
      <x:c r="G71" s="10" t="str">
        <x:v>Owner records Approved / Rejected / Needs clarification with a reason and supporting evidence.</x:v>
      </x:c>
      <x:c r="H71" s="11" t="str">
        <x:v>Not executed</x:v>
      </x:c>
      <x:c r="I71" s="11" t="str"/>
      <x:c r="J71" s="11" t="str"/>
      <x:c r="K71" s="11" t="str"/>
      <x:c r="L71" s="12" t="str"/>
      <x:c r="M71" s="12" t="str"/>
      <x:c r="N71" s="11" t="str"/>
      <x:c r="O71" s="11" t="str">
        <x:v>Pending</x:v>
      </x:c>
      <x:c r="P71" s="13" t="str">
        <x:f>IF(H71&lt;&gt;"Passed","Pending",IF(AND(LEN(I71)&gt;0,LEN(J71)&gt;0,LEN(K71)&gt;0,ISNUMBER(L71)),"Ready","Missing evidence"))</x:f>
        <x:v>Pending</x:v>
      </x:c>
      <x:c r="Q71" s="13" t="str">
        <x:f>IF(ISNUMBER(M71),IF(AND(M71&lt;Dashboard!$B$4,P71&lt;&gt;"Ready"),"Overdue","On track"),"No due date")</x:f>
        <x:v>No due date</x:v>
      </x:c>
    </x:row>
    <x:row r="72" ht="54" customHeight="1">
      <x:c r="A72" s="10" t="str">
        <x:v>FIN</x:v>
      </x:c>
      <x:c r="B72" s="10" t="str">
        <x:v>FIN-UAT-07-A</x:v>
      </x:c>
      <x:c r="C72" s="10" t="str">
        <x:v>FIN-REQ-07</x:v>
      </x:c>
      <x:c r="D72" s="10" t="str">
        <x:v>Acceptance</x:v>
      </x:c>
      <x:c r="E72" s="10" t="str">
        <x:v>Use a disposable fixture for changed data; supplied source stays immutable. Application tests require a configured environment.</x:v>
      </x:c>
      <x:c r="F72" s="10" t="str">
        <x:v>Review requirement FIN-REQ-07; load the unchanged supplied source; inspect the proposed control and execute it in a future configured application.</x:v>
      </x:c>
      <x:c r="G72" s="10" t="str">
        <x:v>A rejected reconciliation remains unresolved and cannot be marked approved by the preparer alone.</x:v>
      </x:c>
      <x:c r="H72" s="11" t="str">
        <x:v>Not executed</x:v>
      </x:c>
      <x:c r="I72" s="11" t="str"/>
      <x:c r="J72" s="11" t="str"/>
      <x:c r="K72" s="11" t="str"/>
      <x:c r="L72" s="12" t="str"/>
      <x:c r="M72" s="12" t="str"/>
      <x:c r="N72" s="11" t="str"/>
      <x:c r="O72" s="11" t="str">
        <x:v>Pending</x:v>
      </x:c>
      <x:c r="P72" s="13" t="str">
        <x:f>IF(H72&lt;&gt;"Passed","Pending",IF(AND(LEN(I72)&gt;0,LEN(J72)&gt;0,LEN(K72)&gt;0,ISNUMBER(L72)),"Ready","Missing evidence"))</x:f>
        <x:v>Pending</x:v>
      </x:c>
      <x:c r="Q72" s="13" t="str">
        <x:f>IF(ISNUMBER(M72),IF(AND(M72&lt;Dashboard!$B$4,P72&lt;&gt;"Ready"),"Overdue","On track"),"No due date")</x:f>
        <x:v>No due date</x:v>
      </x:c>
    </x:row>
    <x:row r="73" ht="68" customHeight="1">
      <x:c r="A73" s="10" t="str">
        <x:v>FIN</x:v>
      </x:c>
      <x:c r="B73" s="10" t="str">
        <x:v>FIN-UAT-07-B</x:v>
      </x:c>
      <x:c r="C73" s="10" t="str">
        <x:v>FIN-REQ-07</x:v>
      </x:c>
      <x:c r="D73" s="10" t="str">
        <x:v>Boundary / exception</x:v>
      </x:c>
      <x:c r="E73" s="10" t="str">
        <x:v>Use a disposable fixture for changed data; supplied source stays immutable. Application tests require a configured environment.</x:v>
      </x:c>
      <x:c r="F73" s="10" t="str">
        <x:v>Prepare a disposable case for this rule: The preparer cannot approve their own material exception; approval remains pending without reviewer evidence. Re-run the applicable SQL or execute the control in the future configured application.</x:v>
      </x:c>
      <x:c r="G73" s="10" t="str">
        <x:v>The preparer cannot approve their own material exception; approval remains pending without reviewer evidence.</x:v>
      </x:c>
      <x:c r="H73" s="11" t="str">
        <x:v>Not executed</x:v>
      </x:c>
      <x:c r="I73" s="11" t="str"/>
      <x:c r="J73" s="11" t="str"/>
      <x:c r="K73" s="11" t="str"/>
      <x:c r="L73" s="12" t="str"/>
      <x:c r="M73" s="12" t="str"/>
      <x:c r="N73" s="11" t="str"/>
      <x:c r="O73" s="11" t="str">
        <x:v>Pending</x:v>
      </x:c>
      <x:c r="P73" s="13" t="str">
        <x:f>IF(H73&lt;&gt;"Passed","Pending",IF(AND(LEN(I73)&gt;0,LEN(J73)&gt;0,LEN(K73)&gt;0,ISNUMBER(L73)),"Ready","Missing evidence"))</x:f>
        <x:v>Pending</x:v>
      </x:c>
      <x:c r="Q73" s="13" t="str">
        <x:f>IF(ISNUMBER(M73),IF(AND(M73&lt;Dashboard!$B$4,P73&lt;&gt;"Ready"),"Overdue","On track"),"No due date")</x:f>
        <x:v>No due date</x:v>
      </x:c>
    </x:row>
    <x:row r="74" ht="54" customHeight="1">
      <x:c r="A74" s="10" t="str">
        <x:v>FIN</x:v>
      </x:c>
      <x:c r="B74" s="10" t="str">
        <x:v>FIN-UAT-07-C</x:v>
      </x:c>
      <x:c r="C74" s="10" t="str">
        <x:v>FIN-REQ-07</x:v>
      </x:c>
      <x:c r="D74" s="10" t="str">
        <x:v>Business review</x:v>
      </x:c>
      <x:c r="E74" s="10" t="str">
        <x:v>Use a disposable fixture for changed data; supplied source stays immutable. Application tests require a configured environment.</x:v>
      </x:c>
      <x:c r="F74" s="10" t="str">
        <x:v>Ask the FP&amp;A Manager to review the labels, scope, evidence, and recommendation against FIN-REQ-07.</x:v>
      </x:c>
      <x:c r="G74" s="10" t="str">
        <x:v>Owner records Approved / Rejected / Needs clarification with a reason and supporting evidence.</x:v>
      </x:c>
      <x:c r="H74" s="11" t="str">
        <x:v>Not executed</x:v>
      </x:c>
      <x:c r="I74" s="11" t="str"/>
      <x:c r="J74" s="11" t="str"/>
      <x:c r="K74" s="11" t="str"/>
      <x:c r="L74" s="12" t="str"/>
      <x:c r="M74" s="12" t="str"/>
      <x:c r="N74" s="11" t="str"/>
      <x:c r="O74" s="11" t="str">
        <x:v>Pending</x:v>
      </x:c>
      <x:c r="P74" s="13" t="str">
        <x:f>IF(H74&lt;&gt;"Passed","Pending",IF(AND(LEN(I74)&gt;0,LEN(J74)&gt;0,LEN(K74)&gt;0,ISNUMBER(L74)),"Ready","Missing evidence"))</x:f>
        <x:v>Pending</x:v>
      </x:c>
      <x:c r="Q74" s="13" t="str">
        <x:f>IF(ISNUMBER(M74),IF(AND(M74&lt;Dashboard!$B$4,P74&lt;&gt;"Ready"),"Overdue","On track"),"No due date")</x:f>
        <x:v>No due date</x:v>
      </x:c>
    </x:row>
    <x:row r="75" ht="54" customHeight="1">
      <x:c r="A75" s="10" t="str">
        <x:v>FIN</x:v>
      </x:c>
      <x:c r="B75" s="10" t="str">
        <x:v>FIN-UAT-08-A</x:v>
      </x:c>
      <x:c r="C75" s="10" t="str">
        <x:v>FIN-REQ-08</x:v>
      </x:c>
      <x:c r="D75" s="10" t="str">
        <x:v>Acceptance</x:v>
      </x:c>
      <x:c r="E75" s="10" t="str">
        <x:v>Use a disposable fixture for changed data; supplied source stays immutable. Application tests require a configured environment.</x:v>
      </x:c>
      <x:c r="F75" s="10" t="str">
        <x:v>Review requirement FIN-REQ-08; load the unchanged supplied source; inspect Q03 result and independently recompute its control totals.</x:v>
      </x:c>
      <x:c r="G75" s="10" t="str">
        <x:v>No forecast accuracy uplift is claimed without actual/forecast history and a defined error measure.</x:v>
      </x:c>
      <x:c r="H75" s="11" t="str">
        <x:v>Not executed</x:v>
      </x:c>
      <x:c r="I75" s="11" t="str"/>
      <x:c r="J75" s="11" t="str"/>
      <x:c r="K75" s="11" t="str"/>
      <x:c r="L75" s="12" t="str"/>
      <x:c r="M75" s="12" t="str"/>
      <x:c r="N75" s="11" t="str"/>
      <x:c r="O75" s="11" t="str">
        <x:v>Pending</x:v>
      </x:c>
      <x:c r="P75" s="13" t="str">
        <x:f>IF(H75&lt;&gt;"Passed","Pending",IF(AND(LEN(I75)&gt;0,LEN(J75)&gt;0,LEN(K75)&gt;0,ISNUMBER(L75)),"Ready","Missing evidence"))</x:f>
        <x:v>Pending</x:v>
      </x:c>
      <x:c r="Q75" s="13" t="str">
        <x:f>IF(ISNUMBER(M75),IF(AND(M75&lt;Dashboard!$B$4,P75&lt;&gt;"Ready"),"Overdue","On track"),"No due date")</x:f>
        <x:v>No due date</x:v>
      </x:c>
    </x:row>
    <x:row r="76" ht="68" customHeight="1">
      <x:c r="A76" s="10" t="str">
        <x:v>FIN</x:v>
      </x:c>
      <x:c r="B76" s="10" t="str">
        <x:v>FIN-UAT-08-B</x:v>
      </x:c>
      <x:c r="C76" s="10" t="str">
        <x:v>FIN-REQ-08</x:v>
      </x:c>
      <x:c r="D76" s="10" t="str">
        <x:v>Boundary / exception</x:v>
      </x:c>
      <x:c r="E76" s="10" t="str">
        <x:v>Use a disposable fixture for changed data; supplied source stays immutable. Application tests require a configured environment.</x:v>
      </x:c>
      <x:c r="F76" s="10" t="str">
        <x:v>Prepare a disposable case for this rule: A forecast without forecast history cannot claim improved forecasting accuracy. Re-run the applicable SQL or execute the control in the future configured application.</x:v>
      </x:c>
      <x:c r="G76" s="10" t="str">
        <x:v>A forecast without forecast history cannot claim improved forecasting accuracy.</x:v>
      </x:c>
      <x:c r="H76" s="11" t="str">
        <x:v>Not executed</x:v>
      </x:c>
      <x:c r="I76" s="11" t="str"/>
      <x:c r="J76" s="11" t="str"/>
      <x:c r="K76" s="11" t="str"/>
      <x:c r="L76" s="12" t="str"/>
      <x:c r="M76" s="12" t="str"/>
      <x:c r="N76" s="11" t="str"/>
      <x:c r="O76" s="11" t="str">
        <x:v>Pending</x:v>
      </x:c>
      <x:c r="P76" s="13" t="str">
        <x:f>IF(H76&lt;&gt;"Passed","Pending",IF(AND(LEN(I76)&gt;0,LEN(J76)&gt;0,LEN(K76)&gt;0,ISNUMBER(L76)),"Ready","Missing evidence"))</x:f>
        <x:v>Pending</x:v>
      </x:c>
      <x:c r="Q76" s="13" t="str">
        <x:f>IF(ISNUMBER(M76),IF(AND(M76&lt;Dashboard!$B$4,P76&lt;&gt;"Ready"),"Overdue","On track"),"No due date")</x:f>
        <x:v>No due date</x:v>
      </x:c>
    </x:row>
    <x:row r="77" ht="54" customHeight="1">
      <x:c r="A77" s="10" t="str">
        <x:v>FIN</x:v>
      </x:c>
      <x:c r="B77" s="10" t="str">
        <x:v>FIN-UAT-08-C</x:v>
      </x:c>
      <x:c r="C77" s="10" t="str">
        <x:v>FIN-REQ-08</x:v>
      </x:c>
      <x:c r="D77" s="10" t="str">
        <x:v>Business review</x:v>
      </x:c>
      <x:c r="E77" s="10" t="str">
        <x:v>Use a disposable fixture for changed data; supplied source stays immutable. Application tests require a configured environment.</x:v>
      </x:c>
      <x:c r="F77" s="10" t="str">
        <x:v>Ask the FP&amp;A Manager to review the labels, scope, evidence, and recommendation against FIN-REQ-08.</x:v>
      </x:c>
      <x:c r="G77" s="10" t="str">
        <x:v>Owner records Approved / Rejected / Needs clarification with a reason and supporting evidence.</x:v>
      </x:c>
      <x:c r="H77" s="11" t="str">
        <x:v>Not executed</x:v>
      </x:c>
      <x:c r="I77" s="11" t="str"/>
      <x:c r="J77" s="11" t="str"/>
      <x:c r="K77" s="11" t="str"/>
      <x:c r="L77" s="12" t="str"/>
      <x:c r="M77" s="12" t="str"/>
      <x:c r="N77" s="11" t="str"/>
      <x:c r="O77" s="11" t="str">
        <x:v>Pending</x:v>
      </x:c>
      <x:c r="P77" s="13" t="str">
        <x:f>IF(H77&lt;&gt;"Passed","Pending",IF(AND(LEN(I77)&gt;0,LEN(J77)&gt;0,LEN(K77)&gt;0,ISNUMBER(L77)),"Ready","Missing evidence"))</x:f>
        <x:v>Pending</x:v>
      </x:c>
      <x:c r="Q77" s="13" t="str">
        <x:f>IF(ISNUMBER(M77),IF(AND(M77&lt;Dashboard!$B$4,P77&lt;&gt;"Ready"),"Overdue","On track"),"No due date")</x:f>
        <x:v>No due date</x:v>
      </x:c>
    </x:row>
    <x:row r="78" ht="54" customHeight="1">
      <x:c r="A78" s="10" t="str">
        <x:v>ADS</x:v>
      </x:c>
      <x:c r="B78" s="10" t="str">
        <x:v>ADS-UAT-01-A</x:v>
      </x:c>
      <x:c r="C78" s="10" t="str">
        <x:v>ADS-REQ-01</x:v>
      </x:c>
      <x:c r="D78" s="10" t="str">
        <x:v>Acceptance</x:v>
      </x:c>
      <x:c r="E78" s="10" t="str">
        <x:v>Use a disposable fixture for changed data; supplied source stays immutable. Application tests require a configured environment.</x:v>
      </x:c>
      <x:c r="F78" s="10" t="str">
        <x:v>Review requirement ADS-REQ-01; load the unchanged supplied source; inspect Q01 result and independently recompute its control totals.</x:v>
      </x:c>
      <x:c r="G78" s="10" t="str">
        <x:v>Revenue and cost control totals reconcile independently to the CSV.</x:v>
      </x:c>
      <x:c r="H78" s="11" t="str">
        <x:v>Not executed</x:v>
      </x:c>
      <x:c r="I78" s="11" t="str"/>
      <x:c r="J78" s="11" t="str"/>
      <x:c r="K78" s="11" t="str"/>
      <x:c r="L78" s="12" t="str"/>
      <x:c r="M78" s="12" t="str"/>
      <x:c r="N78" s="11" t="str"/>
      <x:c r="O78" s="11" t="str">
        <x:v>Pending</x:v>
      </x:c>
      <x:c r="P78" s="13" t="str">
        <x:f>IF(H78&lt;&gt;"Passed","Pending",IF(AND(LEN(I78)&gt;0,LEN(J78)&gt;0,LEN(K78)&gt;0,ISNUMBER(L78)),"Ready","Missing evidence"))</x:f>
        <x:v>Pending</x:v>
      </x:c>
      <x:c r="Q78" s="13" t="str">
        <x:f>IF(ISNUMBER(M78),IF(AND(M78&lt;Dashboard!$B$4,P78&lt;&gt;"Ready"),"Overdue","On track"),"No due date")</x:f>
        <x:v>No due date</x:v>
      </x:c>
    </x:row>
    <x:row r="79" ht="68" customHeight="1">
      <x:c r="A79" s="10" t="str">
        <x:v>ADS</x:v>
      </x:c>
      <x:c r="B79" s="10" t="str">
        <x:v>ADS-UAT-01-B</x:v>
      </x:c>
      <x:c r="C79" s="10" t="str">
        <x:v>ADS-REQ-01</x:v>
      </x:c>
      <x:c r="D79" s="10" t="str">
        <x:v>Boundary / exception</x:v>
      </x:c>
      <x:c r="E79" s="10" t="str">
        <x:v>Use a disposable fixture for changed data; supplied source stays immutable. Application tests require a configured environment.</x:v>
      </x:c>
      <x:c r="F79" s="10" t="str">
        <x:v>Prepare a disposable case for this rule: Dimension combinations may repeat legitimately; retain source rows rather than grouping during ingestion. Re-run the applicable SQL or execute the control in the future configured application.</x:v>
      </x:c>
      <x:c r="G79" s="10" t="str">
        <x:v>Dimension combinations may repeat legitimately; retain source rows rather than grouping during ingestion.</x:v>
      </x:c>
      <x:c r="H79" s="11" t="str">
        <x:v>Not executed</x:v>
      </x:c>
      <x:c r="I79" s="11" t="str"/>
      <x:c r="J79" s="11" t="str"/>
      <x:c r="K79" s="11" t="str"/>
      <x:c r="L79" s="12" t="str"/>
      <x:c r="M79" s="12" t="str"/>
      <x:c r="N79" s="11" t="str"/>
      <x:c r="O79" s="11" t="str">
        <x:v>Pending</x:v>
      </x:c>
      <x:c r="P79" s="13" t="str">
        <x:f>IF(H79&lt;&gt;"Passed","Pending",IF(AND(LEN(I79)&gt;0,LEN(J79)&gt;0,LEN(K79)&gt;0,ISNUMBER(L79)),"Ready","Missing evidence"))</x:f>
        <x:v>Pending</x:v>
      </x:c>
      <x:c r="Q79" s="13" t="str">
        <x:f>IF(ISNUMBER(M79),IF(AND(M79&lt;Dashboard!$B$4,P79&lt;&gt;"Ready"),"Overdue","On track"),"No due date")</x:f>
        <x:v>No due date</x:v>
      </x:c>
    </x:row>
    <x:row r="80" ht="54" customHeight="1">
      <x:c r="A80" s="10" t="str">
        <x:v>ADS</x:v>
      </x:c>
      <x:c r="B80" s="10" t="str">
        <x:v>ADS-UAT-01-C</x:v>
      </x:c>
      <x:c r="C80" s="10" t="str">
        <x:v>ADS-REQ-01</x:v>
      </x:c>
      <x:c r="D80" s="10" t="str">
        <x:v>Business review</x:v>
      </x:c>
      <x:c r="E80" s="10" t="str">
        <x:v>Use a disposable fixture for changed data; supplied source stays immutable. Application tests require a configured environment.</x:v>
      </x:c>
      <x:c r="F80" s="10" t="str">
        <x:v>Ask the Marketing Operations Manager to review the labels, scope, evidence, and recommendation against ADS-REQ-01.</x:v>
      </x:c>
      <x:c r="G80" s="10" t="str">
        <x:v>Owner records Approved / Rejected / Needs clarification with a reason and supporting evidence.</x:v>
      </x:c>
      <x:c r="H80" s="11" t="str">
        <x:v>Not executed</x:v>
      </x:c>
      <x:c r="I80" s="11" t="str"/>
      <x:c r="J80" s="11" t="str"/>
      <x:c r="K80" s="11" t="str"/>
      <x:c r="L80" s="12" t="str"/>
      <x:c r="M80" s="12" t="str"/>
      <x:c r="N80" s="11" t="str"/>
      <x:c r="O80" s="11" t="str">
        <x:v>Pending</x:v>
      </x:c>
      <x:c r="P80" s="13" t="str">
        <x:f>IF(H80&lt;&gt;"Passed","Pending",IF(AND(LEN(I80)&gt;0,LEN(J80)&gt;0,LEN(K80)&gt;0,ISNUMBER(L80)),"Ready","Missing evidence"))</x:f>
        <x:v>Pending</x:v>
      </x:c>
      <x:c r="Q80" s="13" t="str">
        <x:f>IF(ISNUMBER(M80),IF(AND(M80&lt;Dashboard!$B$4,P80&lt;&gt;"Ready"),"Overdue","On track"),"No due date")</x:f>
        <x:v>No due date</x:v>
      </x:c>
    </x:row>
    <x:row r="81" ht="54" customHeight="1">
      <x:c r="A81" s="10" t="str">
        <x:v>ADS</x:v>
      </x:c>
      <x:c r="B81" s="10" t="str">
        <x:v>ADS-UAT-02-A</x:v>
      </x:c>
      <x:c r="C81" s="10" t="str">
        <x:v>ADS-REQ-02</x:v>
      </x:c>
      <x:c r="D81" s="10" t="str">
        <x:v>Acceptance</x:v>
      </x:c>
      <x:c r="E81" s="10" t="str">
        <x:v>Use a disposable fixture for changed data; supplied source stays immutable. Application tests require a configured environment.</x:v>
      </x:c>
      <x:c r="F81" s="10" t="str">
        <x:v>Review requirement ADS-REQ-02; load the unchanged supplied source; inspect Q02 result and independently recompute its control totals.</x:v>
      </x:c>
      <x:c r="G81" s="10" t="str">
        <x:v>Weighted fixtures match independent arithmetic; all zero denominators return null.</x:v>
      </x:c>
      <x:c r="H81" s="11" t="str">
        <x:v>Not executed</x:v>
      </x:c>
      <x:c r="I81" s="11" t="str"/>
      <x:c r="J81" s="11" t="str"/>
      <x:c r="K81" s="11" t="str"/>
      <x:c r="L81" s="12" t="str"/>
      <x:c r="M81" s="12" t="str"/>
      <x:c r="N81" s="11" t="str"/>
      <x:c r="O81" s="11" t="str">
        <x:v>Pending</x:v>
      </x:c>
      <x:c r="P81" s="13" t="str">
        <x:f>IF(H81&lt;&gt;"Passed","Pending",IF(AND(LEN(I81)&gt;0,LEN(J81)&gt;0,LEN(K81)&gt;0,ISNUMBER(L81)),"Ready","Missing evidence"))</x:f>
        <x:v>Pending</x:v>
      </x:c>
      <x:c r="Q81" s="13" t="str">
        <x:f>IF(ISNUMBER(M81),IF(AND(M81&lt;Dashboard!$B$4,P81&lt;&gt;"Ready"),"Overdue","On track"),"No due date")</x:f>
        <x:v>No due date</x:v>
      </x:c>
    </x:row>
    <x:row r="82" ht="68" customHeight="1">
      <x:c r="A82" s="10" t="str">
        <x:v>ADS</x:v>
      </x:c>
      <x:c r="B82" s="10" t="str">
        <x:v>ADS-UAT-02-B</x:v>
      </x:c>
      <x:c r="C82" s="10" t="str">
        <x:v>ADS-REQ-02</x:v>
      </x:c>
      <x:c r="D82" s="10" t="str">
        <x:v>Boundary / exception</x:v>
      </x:c>
      <x:c r="E82" s="10" t="str">
        <x:v>Use a disposable fixture for changed data; supplied source stays immutable. Application tests require a configured environment.</x:v>
      </x:c>
      <x:c r="F82" s="10" t="str">
        <x:v>Prepare a disposable case for this rule: No spend, no impressions, or no clicks yields undefined corresponding ratios. Re-run the applicable SQL or execute the control in the future configured application.</x:v>
      </x:c>
      <x:c r="G82" s="10" t="str">
        <x:v>No spend, no impressions, or no clicks yields undefined corresponding ratios.</x:v>
      </x:c>
      <x:c r="H82" s="11" t="str">
        <x:v>Not executed</x:v>
      </x:c>
      <x:c r="I82" s="11" t="str"/>
      <x:c r="J82" s="11" t="str"/>
      <x:c r="K82" s="11" t="str"/>
      <x:c r="L82" s="12" t="str"/>
      <x:c r="M82" s="12" t="str"/>
      <x:c r="N82" s="11" t="str"/>
      <x:c r="O82" s="11" t="str">
        <x:v>Pending</x:v>
      </x:c>
      <x:c r="P82" s="13" t="str">
        <x:f>IF(H82&lt;&gt;"Passed","Pending",IF(AND(LEN(I82)&gt;0,LEN(J82)&gt;0,LEN(K82)&gt;0,ISNUMBER(L82)),"Ready","Missing evidence"))</x:f>
        <x:v>Pending</x:v>
      </x:c>
      <x:c r="Q82" s="13" t="str">
        <x:f>IF(ISNUMBER(M82),IF(AND(M82&lt;Dashboard!$B$4,P82&lt;&gt;"Ready"),"Overdue","On track"),"No due date")</x:f>
        <x:v>No due date</x:v>
      </x:c>
    </x:row>
    <x:row r="83" ht="54" customHeight="1">
      <x:c r="A83" s="10" t="str">
        <x:v>ADS</x:v>
      </x:c>
      <x:c r="B83" s="10" t="str">
        <x:v>ADS-UAT-02-C</x:v>
      </x:c>
      <x:c r="C83" s="10" t="str">
        <x:v>ADS-REQ-02</x:v>
      </x:c>
      <x:c r="D83" s="10" t="str">
        <x:v>Business review</x:v>
      </x:c>
      <x:c r="E83" s="10" t="str">
        <x:v>Use a disposable fixture for changed data; supplied source stays immutable. Application tests require a configured environment.</x:v>
      </x:c>
      <x:c r="F83" s="10" t="str">
        <x:v>Ask the Marketing Operations Manager to review the labels, scope, evidence, and recommendation against ADS-REQ-02.</x:v>
      </x:c>
      <x:c r="G83" s="10" t="str">
        <x:v>Owner records Approved / Rejected / Needs clarification with a reason and supporting evidence.</x:v>
      </x:c>
      <x:c r="H83" s="11" t="str">
        <x:v>Not executed</x:v>
      </x:c>
      <x:c r="I83" s="11" t="str"/>
      <x:c r="J83" s="11" t="str"/>
      <x:c r="K83" s="11" t="str"/>
      <x:c r="L83" s="12" t="str"/>
      <x:c r="M83" s="12" t="str"/>
      <x:c r="N83" s="11" t="str"/>
      <x:c r="O83" s="11" t="str">
        <x:v>Pending</x:v>
      </x:c>
      <x:c r="P83" s="13" t="str">
        <x:f>IF(H83&lt;&gt;"Passed","Pending",IF(AND(LEN(I83)&gt;0,LEN(J83)&gt;0,LEN(K83)&gt;0,ISNUMBER(L83)),"Ready","Missing evidence"))</x:f>
        <x:v>Pending</x:v>
      </x:c>
      <x:c r="Q83" s="13" t="str">
        <x:f>IF(ISNUMBER(M83),IF(AND(M83&lt;Dashboard!$B$4,P83&lt;&gt;"Ready"),"Overdue","On track"),"No due date")</x:f>
        <x:v>No due date</x:v>
      </x:c>
    </x:row>
    <x:row r="84" ht="54" customHeight="1">
      <x:c r="A84" s="10" t="str">
        <x:v>ADS</x:v>
      </x:c>
      <x:c r="B84" s="10" t="str">
        <x:v>ADS-UAT-03-A</x:v>
      </x:c>
      <x:c r="C84" s="10" t="str">
        <x:v>ADS-REQ-03</x:v>
      </x:c>
      <x:c r="D84" s="10" t="str">
        <x:v>Acceptance</x:v>
      </x:c>
      <x:c r="E84" s="10" t="str">
        <x:v>Use a disposable fixture for changed data; supplied source stays immutable. Application tests require a configured environment.</x:v>
      </x:c>
      <x:c r="F84" s="10" t="str">
        <x:v>Review requirement ADS-REQ-03; load the unchanged supplied source; inspect Q02 result and independently recompute its control totals.</x:v>
      </x:c>
      <x:c r="G84" s="10" t="str">
        <x:v>Group totals reconcile to the portfolio totals and contribution is correctly labeled.</x:v>
      </x:c>
      <x:c r="H84" s="11" t="str">
        <x:v>Not executed</x:v>
      </x:c>
      <x:c r="I84" s="11" t="str"/>
      <x:c r="J84" s="11" t="str"/>
      <x:c r="K84" s="11" t="str"/>
      <x:c r="L84" s="12" t="str"/>
      <x:c r="M84" s="12" t="str"/>
      <x:c r="N84" s="11" t="str"/>
      <x:c r="O84" s="11" t="str">
        <x:v>Pending</x:v>
      </x:c>
      <x:c r="P84" s="13" t="str">
        <x:f>IF(H84&lt;&gt;"Passed","Pending",IF(AND(LEN(I84)&gt;0,LEN(J84)&gt;0,LEN(K84)&gt;0,ISNUMBER(L84)),"Ready","Missing evidence"))</x:f>
        <x:v>Pending</x:v>
      </x:c>
      <x:c r="Q84" s="13" t="str">
        <x:f>IF(ISNUMBER(M84),IF(AND(M84&lt;Dashboard!$B$4,P84&lt;&gt;"Ready"),"Overdue","On track"),"No due date")</x:f>
        <x:v>No due date</x:v>
      </x:c>
    </x:row>
    <x:row r="85" ht="68" customHeight="1">
      <x:c r="A85" s="10" t="str">
        <x:v>ADS</x:v>
      </x:c>
      <x:c r="B85" s="10" t="str">
        <x:v>ADS-UAT-03-B</x:v>
      </x:c>
      <x:c r="C85" s="10" t="str">
        <x:v>ADS-REQ-03</x:v>
      </x:c>
      <x:c r="D85" s="10" t="str">
        <x:v>Boundary / exception</x:v>
      </x:c>
      <x:c r="E85" s="10" t="str">
        <x:v>Use a disposable fixture for changed data; supplied source stays immutable. Application tests require a configured environment.</x:v>
      </x:c>
      <x:c r="F85" s="10" t="str">
        <x:v>Prepare a disposable case for this rule: Contribution excludes other business costs; low spend remains visible beside high ROAS. Re-run the applicable SQL or execute the control in the future configured application.</x:v>
      </x:c>
      <x:c r="G85" s="10" t="str">
        <x:v>Contribution excludes other business costs; low spend remains visible beside high ROAS.</x:v>
      </x:c>
      <x:c r="H85" s="11" t="str">
        <x:v>Not executed</x:v>
      </x:c>
      <x:c r="I85" s="11" t="str"/>
      <x:c r="J85" s="11" t="str"/>
      <x:c r="K85" s="11" t="str"/>
      <x:c r="L85" s="12" t="str"/>
      <x:c r="M85" s="12" t="str"/>
      <x:c r="N85" s="11" t="str"/>
      <x:c r="O85" s="11" t="str">
        <x:v>Pending</x:v>
      </x:c>
      <x:c r="P85" s="13" t="str">
        <x:f>IF(H85&lt;&gt;"Passed","Pending",IF(AND(LEN(I85)&gt;0,LEN(J85)&gt;0,LEN(K85)&gt;0,ISNUMBER(L85)),"Ready","Missing evidence"))</x:f>
        <x:v>Pending</x:v>
      </x:c>
      <x:c r="Q85" s="13" t="str">
        <x:f>IF(ISNUMBER(M85),IF(AND(M85&lt;Dashboard!$B$4,P85&lt;&gt;"Ready"),"Overdue","On track"),"No due date")</x:f>
        <x:v>No due date</x:v>
      </x:c>
    </x:row>
    <x:row r="86" ht="54" customHeight="1">
      <x:c r="A86" s="10" t="str">
        <x:v>ADS</x:v>
      </x:c>
      <x:c r="B86" s="10" t="str">
        <x:v>ADS-UAT-03-C</x:v>
      </x:c>
      <x:c r="C86" s="10" t="str">
        <x:v>ADS-REQ-03</x:v>
      </x:c>
      <x:c r="D86" s="10" t="str">
        <x:v>Business review</x:v>
      </x:c>
      <x:c r="E86" s="10" t="str">
        <x:v>Use a disposable fixture for changed data; supplied source stays immutable. Application tests require a configured environment.</x:v>
      </x:c>
      <x:c r="F86" s="10" t="str">
        <x:v>Ask the Marketing Operations Manager to review the labels, scope, evidence, and recommendation against ADS-REQ-03.</x:v>
      </x:c>
      <x:c r="G86" s="10" t="str">
        <x:v>Owner records Approved / Rejected / Needs clarification with a reason and supporting evidence.</x:v>
      </x:c>
      <x:c r="H86" s="11" t="str">
        <x:v>Not executed</x:v>
      </x:c>
      <x:c r="I86" s="11" t="str"/>
      <x:c r="J86" s="11" t="str"/>
      <x:c r="K86" s="11" t="str"/>
      <x:c r="L86" s="12" t="str"/>
      <x:c r="M86" s="12" t="str"/>
      <x:c r="N86" s="11" t="str"/>
      <x:c r="O86" s="11" t="str">
        <x:v>Pending</x:v>
      </x:c>
      <x:c r="P86" s="13" t="str">
        <x:f>IF(H86&lt;&gt;"Passed","Pending",IF(AND(LEN(I86)&gt;0,LEN(J86)&gt;0,LEN(K86)&gt;0,ISNUMBER(L86)),"Ready","Missing evidence"))</x:f>
        <x:v>Pending</x:v>
      </x:c>
      <x:c r="Q86" s="13" t="str">
        <x:f>IF(ISNUMBER(M86),IF(AND(M86&lt;Dashboard!$B$4,P86&lt;&gt;"Ready"),"Overdue","On track"),"No due date")</x:f>
        <x:v>No due date</x:v>
      </x:c>
    </x:row>
    <x:row r="87" ht="54" customHeight="1">
      <x:c r="A87" s="10" t="str">
        <x:v>ADS</x:v>
      </x:c>
      <x:c r="B87" s="10" t="str">
        <x:v>ADS-UAT-04-A</x:v>
      </x:c>
      <x:c r="C87" s="10" t="str">
        <x:v>ADS-REQ-04</x:v>
      </x:c>
      <x:c r="D87" s="10" t="str">
        <x:v>Acceptance</x:v>
      </x:c>
      <x:c r="E87" s="10" t="str">
        <x:v>Use a disposable fixture for changed data; supplied source stays immutable. Application tests require a configured environment.</x:v>
      </x:c>
      <x:c r="F87" s="10" t="str">
        <x:v>Review requirement ADS-REQ-04; load the unchanged supplied source; inspect Q03 result and independently recompute its control totals.</x:v>
      </x:c>
      <x:c r="G87" s="10" t="str">
        <x:v>Device totals reconcile and no causal explanation is generated automatically.</x:v>
      </x:c>
      <x:c r="H87" s="11" t="str">
        <x:v>Not executed</x:v>
      </x:c>
      <x:c r="I87" s="11" t="str"/>
      <x:c r="J87" s="11" t="str"/>
      <x:c r="K87" s="11" t="str"/>
      <x:c r="L87" s="12" t="str"/>
      <x:c r="M87" s="12" t="str"/>
      <x:c r="N87" s="11" t="str"/>
      <x:c r="O87" s="11" t="str">
        <x:v>Pending</x:v>
      </x:c>
      <x:c r="P87" s="13" t="str">
        <x:f>IF(H87&lt;&gt;"Passed","Pending",IF(AND(LEN(I87)&gt;0,LEN(J87)&gt;0,LEN(K87)&gt;0,ISNUMBER(L87)),"Ready","Missing evidence"))</x:f>
        <x:v>Pending</x:v>
      </x:c>
      <x:c r="Q87" s="13" t="str">
        <x:f>IF(ISNUMBER(M87),IF(AND(M87&lt;Dashboard!$B$4,P87&lt;&gt;"Ready"),"Overdue","On track"),"No due date")</x:f>
        <x:v>No due date</x:v>
      </x:c>
    </x:row>
    <x:row r="88" ht="68" customHeight="1">
      <x:c r="A88" s="10" t="str">
        <x:v>ADS</x:v>
      </x:c>
      <x:c r="B88" s="10" t="str">
        <x:v>ADS-UAT-04-B</x:v>
      </x:c>
      <x:c r="C88" s="10" t="str">
        <x:v>ADS-REQ-04</x:v>
      </x:c>
      <x:c r="D88" s="10" t="str">
        <x:v>Boundary / exception</x:v>
      </x:c>
      <x:c r="E88" s="10" t="str">
        <x:v>Use a disposable fixture for changed data; supplied source stays immutable. Application tests require a configured environment.</x:v>
      </x:c>
      <x:c r="F88" s="10" t="str">
        <x:v>Prepare a disposable case for this rule: Device mix is observational and cannot establish causal effectiveness. Re-run the applicable SQL or execute the control in the future configured application.</x:v>
      </x:c>
      <x:c r="G88" s="10" t="str">
        <x:v>Device mix is observational and cannot establish causal effectiveness.</x:v>
      </x:c>
      <x:c r="H88" s="11" t="str">
        <x:v>Not executed</x:v>
      </x:c>
      <x:c r="I88" s="11" t="str"/>
      <x:c r="J88" s="11" t="str"/>
      <x:c r="K88" s="11" t="str"/>
      <x:c r="L88" s="12" t="str"/>
      <x:c r="M88" s="12" t="str"/>
      <x:c r="N88" s="11" t="str"/>
      <x:c r="O88" s="11" t="str">
        <x:v>Pending</x:v>
      </x:c>
      <x:c r="P88" s="13" t="str">
        <x:f>IF(H88&lt;&gt;"Passed","Pending",IF(AND(LEN(I88)&gt;0,LEN(J88)&gt;0,LEN(K88)&gt;0,ISNUMBER(L88)),"Ready","Missing evidence"))</x:f>
        <x:v>Pending</x:v>
      </x:c>
      <x:c r="Q88" s="13" t="str">
        <x:f>IF(ISNUMBER(M88),IF(AND(M88&lt;Dashboard!$B$4,P88&lt;&gt;"Ready"),"Overdue","On track"),"No due date")</x:f>
        <x:v>No due date</x:v>
      </x:c>
    </x:row>
    <x:row r="89" ht="54" customHeight="1">
      <x:c r="A89" s="10" t="str">
        <x:v>ADS</x:v>
      </x:c>
      <x:c r="B89" s="10" t="str">
        <x:v>ADS-UAT-04-C</x:v>
      </x:c>
      <x:c r="C89" s="10" t="str">
        <x:v>ADS-REQ-04</x:v>
      </x:c>
      <x:c r="D89" s="10" t="str">
        <x:v>Business review</x:v>
      </x:c>
      <x:c r="E89" s="10" t="str">
        <x:v>Use a disposable fixture for changed data; supplied source stays immutable. Application tests require a configured environment.</x:v>
      </x:c>
      <x:c r="F89" s="10" t="str">
        <x:v>Ask the Marketing Operations Manager to review the labels, scope, evidence, and recommendation against ADS-REQ-04.</x:v>
      </x:c>
      <x:c r="G89" s="10" t="str">
        <x:v>Owner records Approved / Rejected / Needs clarification with a reason and supporting evidence.</x:v>
      </x:c>
      <x:c r="H89" s="11" t="str">
        <x:v>Not executed</x:v>
      </x:c>
      <x:c r="I89" s="11" t="str"/>
      <x:c r="J89" s="11" t="str"/>
      <x:c r="K89" s="11" t="str"/>
      <x:c r="L89" s="12" t="str"/>
      <x:c r="M89" s="12" t="str"/>
      <x:c r="N89" s="11" t="str"/>
      <x:c r="O89" s="11" t="str">
        <x:v>Pending</x:v>
      </x:c>
      <x:c r="P89" s="13" t="str">
        <x:f>IF(H89&lt;&gt;"Passed","Pending",IF(AND(LEN(I89)&gt;0,LEN(J89)&gt;0,LEN(K89)&gt;0,ISNUMBER(L89)),"Ready","Missing evidence"))</x:f>
        <x:v>Pending</x:v>
      </x:c>
      <x:c r="Q89" s="13" t="str">
        <x:f>IF(ISNUMBER(M89),IF(AND(M89&lt;Dashboard!$B$4,P89&lt;&gt;"Ready"),"Overdue","On track"),"No due date")</x:f>
        <x:v>No due date</x:v>
      </x:c>
    </x:row>
    <x:row r="90" ht="54" customHeight="1">
      <x:c r="A90" s="10" t="str">
        <x:v>ADS</x:v>
      </x:c>
      <x:c r="B90" s="10" t="str">
        <x:v>ADS-UAT-05-A</x:v>
      </x:c>
      <x:c r="C90" s="10" t="str">
        <x:v>ADS-REQ-05</x:v>
      </x:c>
      <x:c r="D90" s="10" t="str">
        <x:v>Acceptance</x:v>
      </x:c>
      <x:c r="E90" s="10" t="str">
        <x:v>Use a disposable fixture for changed data; supplied source stays immutable. Application tests require a configured environment.</x:v>
      </x:c>
      <x:c r="F90" s="10" t="str">
        <x:v>Review requirement ADS-REQ-05; load the unchanged supplied source; inspect Q04 result and independently recompute its control totals.</x:v>
      </x:c>
      <x:c r="G90" s="10" t="str">
        <x:v>Month order is chronological and first-month change is null.</x:v>
      </x:c>
      <x:c r="H90" s="11" t="str">
        <x:v>Not executed</x:v>
      </x:c>
      <x:c r="I90" s="11" t="str"/>
      <x:c r="J90" s="11" t="str"/>
      <x:c r="K90" s="11" t="str"/>
      <x:c r="L90" s="12" t="str"/>
      <x:c r="M90" s="12" t="str"/>
      <x:c r="N90" s="11" t="str"/>
      <x:c r="O90" s="11" t="str">
        <x:v>Pending</x:v>
      </x:c>
      <x:c r="P90" s="13" t="str">
        <x:f>IF(H90&lt;&gt;"Passed","Pending",IF(AND(LEN(I90)&gt;0,LEN(J90)&gt;0,LEN(K90)&gt;0,ISNUMBER(L90)),"Ready","Missing evidence"))</x:f>
        <x:v>Pending</x:v>
      </x:c>
      <x:c r="Q90" s="13" t="str">
        <x:f>IF(ISNUMBER(M90),IF(AND(M90&lt;Dashboard!$B$4,P90&lt;&gt;"Ready"),"Overdue","On track"),"No due date")</x:f>
        <x:v>No due date</x:v>
      </x:c>
    </x:row>
    <x:row r="91" ht="68" customHeight="1">
      <x:c r="A91" s="10" t="str">
        <x:v>ADS</x:v>
      </x:c>
      <x:c r="B91" s="10" t="str">
        <x:v>ADS-UAT-05-B</x:v>
      </x:c>
      <x:c r="C91" s="10" t="str">
        <x:v>ADS-REQ-05</x:v>
      </x:c>
      <x:c r="D91" s="10" t="str">
        <x:v>Boundary / exception</x:v>
      </x:c>
      <x:c r="E91" s="10" t="str">
        <x:v>Use a disposable fixture for changed data; supplied source stays immutable. Application tests require a configured environment.</x:v>
      </x:c>
      <x:c r="F91" s="10" t="str">
        <x:v>Prepare a disposable case for this rule: The first month has no prior spend comparison; production changes require complete adjacent months. Re-run the applicable SQL or execute the control in the future configured application.</x:v>
      </x:c>
      <x:c r="G91" s="10" t="str">
        <x:v>The first month has no prior spend comparison; production changes require complete adjacent months.</x:v>
      </x:c>
      <x:c r="H91" s="11" t="str">
        <x:v>Not executed</x:v>
      </x:c>
      <x:c r="I91" s="11" t="str"/>
      <x:c r="J91" s="11" t="str"/>
      <x:c r="K91" s="11" t="str"/>
      <x:c r="L91" s="12" t="str"/>
      <x:c r="M91" s="12" t="str"/>
      <x:c r="N91" s="11" t="str"/>
      <x:c r="O91" s="11" t="str">
        <x:v>Pending</x:v>
      </x:c>
      <x:c r="P91" s="13" t="str">
        <x:f>IF(H91&lt;&gt;"Passed","Pending",IF(AND(LEN(I91)&gt;0,LEN(J91)&gt;0,LEN(K91)&gt;0,ISNUMBER(L91)),"Ready","Missing evidence"))</x:f>
        <x:v>Pending</x:v>
      </x:c>
      <x:c r="Q91" s="13" t="str">
        <x:f>IF(ISNUMBER(M91),IF(AND(M91&lt;Dashboard!$B$4,P91&lt;&gt;"Ready"),"Overdue","On track"),"No due date")</x:f>
        <x:v>No due date</x:v>
      </x:c>
    </x:row>
    <x:row r="92" ht="54" customHeight="1">
      <x:c r="A92" s="10" t="str">
        <x:v>ADS</x:v>
      </x:c>
      <x:c r="B92" s="10" t="str">
        <x:v>ADS-UAT-05-C</x:v>
      </x:c>
      <x:c r="C92" s="10" t="str">
        <x:v>ADS-REQ-05</x:v>
      </x:c>
      <x:c r="D92" s="10" t="str">
        <x:v>Business review</x:v>
      </x:c>
      <x:c r="E92" s="10" t="str">
        <x:v>Use a disposable fixture for changed data; supplied source stays immutable. Application tests require a configured environment.</x:v>
      </x:c>
      <x:c r="F92" s="10" t="str">
        <x:v>Ask the Marketing Operations Manager to review the labels, scope, evidence, and recommendation against ADS-REQ-05.</x:v>
      </x:c>
      <x:c r="G92" s="10" t="str">
        <x:v>Owner records Approved / Rejected / Needs clarification with a reason and supporting evidence.</x:v>
      </x:c>
      <x:c r="H92" s="11" t="str">
        <x:v>Not executed</x:v>
      </x:c>
      <x:c r="I92" s="11" t="str"/>
      <x:c r="J92" s="11" t="str"/>
      <x:c r="K92" s="11" t="str"/>
      <x:c r="L92" s="12" t="str"/>
      <x:c r="M92" s="12" t="str"/>
      <x:c r="N92" s="11" t="str"/>
      <x:c r="O92" s="11" t="str">
        <x:v>Pending</x:v>
      </x:c>
      <x:c r="P92" s="13" t="str">
        <x:f>IF(H92&lt;&gt;"Passed","Pending",IF(AND(LEN(I92)&gt;0,LEN(J92)&gt;0,LEN(K92)&gt;0,ISNUMBER(L92)),"Ready","Missing evidence"))</x:f>
        <x:v>Pending</x:v>
      </x:c>
      <x:c r="Q92" s="13" t="str">
        <x:f>IF(ISNUMBER(M92),IF(AND(M92&lt;Dashboard!$B$4,P92&lt;&gt;"Ready"),"Overdue","On track"),"No due date")</x:f>
        <x:v>No due date</x:v>
      </x:c>
    </x:row>
    <x:row r="93" ht="54" customHeight="1">
      <x:c r="A93" s="10" t="str">
        <x:v>ADS</x:v>
      </x:c>
      <x:c r="B93" s="10" t="str">
        <x:v>ADS-UAT-06-A</x:v>
      </x:c>
      <x:c r="C93" s="10" t="str">
        <x:v>ADS-REQ-06</x:v>
      </x:c>
      <x:c r="D93" s="10" t="str">
        <x:v>Acceptance</x:v>
      </x:c>
      <x:c r="E93" s="10" t="str">
        <x:v>Use a disposable fixture for changed data; supplied source stays immutable. Application tests require a configured environment.</x:v>
      </x:c>
      <x:c r="F93" s="10" t="str">
        <x:v>Review requirement ADS-REQ-06; load the unchanged supplied source; inspect the proposed control and execute it in a future configured application.</x:v>
      </x:c>
      <x:c r="G93" s="10" t="str">
        <x:v>The proposed plan includes approval, holdout strategy, minimum evidence, and a stop rule.</x:v>
      </x:c>
      <x:c r="H93" s="11" t="str">
        <x:v>Not executed</x:v>
      </x:c>
      <x:c r="I93" s="11" t="str"/>
      <x:c r="J93" s="11" t="str"/>
      <x:c r="K93" s="11" t="str"/>
      <x:c r="L93" s="12" t="str"/>
      <x:c r="M93" s="12" t="str"/>
      <x:c r="N93" s="11" t="str"/>
      <x:c r="O93" s="11" t="str">
        <x:v>Pending</x:v>
      </x:c>
      <x:c r="P93" s="13" t="str">
        <x:f>IF(H93&lt;&gt;"Passed","Pending",IF(AND(LEN(I93)&gt;0,LEN(J93)&gt;0,LEN(K93)&gt;0,ISNUMBER(L93)),"Ready","Missing evidence"))</x:f>
        <x:v>Pending</x:v>
      </x:c>
      <x:c r="Q93" s="13" t="str">
        <x:f>IF(ISNUMBER(M93),IF(AND(M93&lt;Dashboard!$B$4,P93&lt;&gt;"Ready"),"Overdue","On track"),"No due date")</x:f>
        <x:v>No due date</x:v>
      </x:c>
    </x:row>
    <x:row r="94" ht="68" customHeight="1">
      <x:c r="A94" s="10" t="str">
        <x:v>ADS</x:v>
      </x:c>
      <x:c r="B94" s="10" t="str">
        <x:v>ADS-UAT-06-B</x:v>
      </x:c>
      <x:c r="C94" s="10" t="str">
        <x:v>ADS-REQ-06</x:v>
      </x:c>
      <x:c r="D94" s="10" t="str">
        <x:v>Boundary / exception</x:v>
      </x:c>
      <x:c r="E94" s="10" t="str">
        <x:v>Use a disposable fixture for changed data; supplied source stays immutable. Application tests require a configured environment.</x:v>
      </x:c>
      <x:c r="F94" s="10" t="str">
        <x:v>Prepare a disposable case for this rule: A pilot stops at its agreed cap or adverse guardrail; an observational high ROAS is not automatic approval. Re-run the applicable SQL or execute the control in the future configured application.</x:v>
      </x:c>
      <x:c r="G94" s="10" t="str">
        <x:v>A pilot stops at its agreed cap or adverse guardrail; an observational high ROAS is not automatic approval.</x:v>
      </x:c>
      <x:c r="H94" s="11" t="str">
        <x:v>Not executed</x:v>
      </x:c>
      <x:c r="I94" s="11" t="str"/>
      <x:c r="J94" s="11" t="str"/>
      <x:c r="K94" s="11" t="str"/>
      <x:c r="L94" s="12" t="str"/>
      <x:c r="M94" s="12" t="str"/>
      <x:c r="N94" s="11" t="str"/>
      <x:c r="O94" s="11" t="str">
        <x:v>Pending</x:v>
      </x:c>
      <x:c r="P94" s="13" t="str">
        <x:f>IF(H94&lt;&gt;"Passed","Pending",IF(AND(LEN(I94)&gt;0,LEN(J94)&gt;0,LEN(K94)&gt;0,ISNUMBER(L94)),"Ready","Missing evidence"))</x:f>
        <x:v>Pending</x:v>
      </x:c>
      <x:c r="Q94" s="13" t="str">
        <x:f>IF(ISNUMBER(M94),IF(AND(M94&lt;Dashboard!$B$4,P94&lt;&gt;"Ready"),"Overdue","On track"),"No due date")</x:f>
        <x:v>No due date</x:v>
      </x:c>
    </x:row>
    <x:row r="95" ht="54" customHeight="1">
      <x:c r="A95" s="10" t="str">
        <x:v>ADS</x:v>
      </x:c>
      <x:c r="B95" s="10" t="str">
        <x:v>ADS-UAT-06-C</x:v>
      </x:c>
      <x:c r="C95" s="10" t="str">
        <x:v>ADS-REQ-06</x:v>
      </x:c>
      <x:c r="D95" s="10" t="str">
        <x:v>Business review</x:v>
      </x:c>
      <x:c r="E95" s="10" t="str">
        <x:v>Use a disposable fixture for changed data; supplied source stays immutable. Application tests require a configured environment.</x:v>
      </x:c>
      <x:c r="F95" s="10" t="str">
        <x:v>Ask the Marketing Operations Manager to review the labels, scope, evidence, and recommendation against ADS-REQ-06.</x:v>
      </x:c>
      <x:c r="G95" s="10" t="str">
        <x:v>Owner records Approved / Rejected / Needs clarification with a reason and supporting evidence.</x:v>
      </x:c>
      <x:c r="H95" s="11" t="str">
        <x:v>Not executed</x:v>
      </x:c>
      <x:c r="I95" s="11" t="str"/>
      <x:c r="J95" s="11" t="str"/>
      <x:c r="K95" s="11" t="str"/>
      <x:c r="L95" s="12" t="str"/>
      <x:c r="M95" s="12" t="str"/>
      <x:c r="N95" s="11" t="str"/>
      <x:c r="O95" s="11" t="str">
        <x:v>Pending</x:v>
      </x:c>
      <x:c r="P95" s="13" t="str">
        <x:f>IF(H95&lt;&gt;"Passed","Pending",IF(AND(LEN(I95)&gt;0,LEN(J95)&gt;0,LEN(K95)&gt;0,ISNUMBER(L95)),"Ready","Missing evidence"))</x:f>
        <x:v>Pending</x:v>
      </x:c>
      <x:c r="Q95" s="13" t="str">
        <x:f>IF(ISNUMBER(M95),IF(AND(M95&lt;Dashboard!$B$4,P95&lt;&gt;"Ready"),"Overdue","On track"),"No due date")</x:f>
        <x:v>No due date</x:v>
      </x:c>
    </x:row>
    <x:row r="96" ht="54" customHeight="1">
      <x:c r="A96" s="10" t="str">
        <x:v>ADS</x:v>
      </x:c>
      <x:c r="B96" s="10" t="str">
        <x:v>ADS-UAT-07-A</x:v>
      </x:c>
      <x:c r="C96" s="10" t="str">
        <x:v>ADS-REQ-07</x:v>
      </x:c>
      <x:c r="D96" s="10" t="str">
        <x:v>Acceptance</x:v>
      </x:c>
      <x:c r="E96" s="10" t="str">
        <x:v>Use a disposable fixture for changed data; supplied source stays immutable. Application tests require a configured environment.</x:v>
      </x:c>
      <x:c r="F96" s="10" t="str">
        <x:v>Review requirement ADS-REQ-07; load the unchanged supplied source; inspect Q01 result and independently recompute its control totals.</x:v>
      </x:c>
      <x:c r="G96" s="10" t="str">
        <x:v>Every record with a difference above $0.01 is reported and full-profit language is excluded.</x:v>
      </x:c>
      <x:c r="H96" s="11" t="str">
        <x:v>Not executed</x:v>
      </x:c>
      <x:c r="I96" s="11" t="str"/>
      <x:c r="J96" s="11" t="str"/>
      <x:c r="K96" s="11" t="str"/>
      <x:c r="L96" s="12" t="str"/>
      <x:c r="M96" s="12" t="str"/>
      <x:c r="N96" s="11" t="str"/>
      <x:c r="O96" s="11" t="str">
        <x:v>Pending</x:v>
      </x:c>
      <x:c r="P96" s="13" t="str">
        <x:f>IF(H96&lt;&gt;"Passed","Pending",IF(AND(LEN(I96)&gt;0,LEN(J96)&gt;0,LEN(K96)&gt;0,ISNUMBER(L96)),"Ready","Missing evidence"))</x:f>
        <x:v>Pending</x:v>
      </x:c>
      <x:c r="Q96" s="13" t="str">
        <x:f>IF(ISNUMBER(M96),IF(AND(M96&lt;Dashboard!$B$4,P96&lt;&gt;"Ready"),"Overdue","On track"),"No due date")</x:f>
        <x:v>No due date</x:v>
      </x:c>
    </x:row>
    <x:row r="97" ht="68" customHeight="1">
      <x:c r="A97" s="10" t="str">
        <x:v>ADS</x:v>
      </x:c>
      <x:c r="B97" s="10" t="str">
        <x:v>ADS-UAT-07-B</x:v>
      </x:c>
      <x:c r="C97" s="10" t="str">
        <x:v>ADS-REQ-07</x:v>
      </x:c>
      <x:c r="D97" s="10" t="str">
        <x:v>Boundary / exception</x:v>
      </x:c>
      <x:c r="E97" s="10" t="str">
        <x:v>Use a disposable fixture for changed data; supplied source stays immutable. Application tests require a configured environment.</x:v>
      </x:c>
      <x:c r="F97" s="10" t="str">
        <x:v>Prepare a disposable case for this rule: A source P&amp;L difference above $0.01 is an exception; display both values until resolved. Re-run the applicable SQL or execute the control in the future configured application.</x:v>
      </x:c>
      <x:c r="G97" s="10" t="str">
        <x:v>A source P&amp;L difference above $0.01 is an exception; display both values until resolved.</x:v>
      </x:c>
      <x:c r="H97" s="11" t="str">
        <x:v>Not executed</x:v>
      </x:c>
      <x:c r="I97" s="11" t="str"/>
      <x:c r="J97" s="11" t="str"/>
      <x:c r="K97" s="11" t="str"/>
      <x:c r="L97" s="12" t="str"/>
      <x:c r="M97" s="12" t="str"/>
      <x:c r="N97" s="11" t="str"/>
      <x:c r="O97" s="11" t="str">
        <x:v>Pending</x:v>
      </x:c>
      <x:c r="P97" s="13" t="str">
        <x:f>IF(H97&lt;&gt;"Passed","Pending",IF(AND(LEN(I97)&gt;0,LEN(J97)&gt;0,LEN(K97)&gt;0,ISNUMBER(L97)),"Ready","Missing evidence"))</x:f>
        <x:v>Pending</x:v>
      </x:c>
      <x:c r="Q97" s="13" t="str">
        <x:f>IF(ISNUMBER(M97),IF(AND(M97&lt;Dashboard!$B$4,P97&lt;&gt;"Ready"),"Overdue","On track"),"No due date")</x:f>
        <x:v>No due date</x:v>
      </x:c>
    </x:row>
    <x:row r="98" ht="54" customHeight="1">
      <x:c r="A98" s="10" t="str">
        <x:v>ADS</x:v>
      </x:c>
      <x:c r="B98" s="10" t="str">
        <x:v>ADS-UAT-07-C</x:v>
      </x:c>
      <x:c r="C98" s="10" t="str">
        <x:v>ADS-REQ-07</x:v>
      </x:c>
      <x:c r="D98" s="10" t="str">
        <x:v>Business review</x:v>
      </x:c>
      <x:c r="E98" s="10" t="str">
        <x:v>Use a disposable fixture for changed data; supplied source stays immutable. Application tests require a configured environment.</x:v>
      </x:c>
      <x:c r="F98" s="10" t="str">
        <x:v>Ask the Marketing Operations Manager to review the labels, scope, evidence, and recommendation against ADS-REQ-07.</x:v>
      </x:c>
      <x:c r="G98" s="10" t="str">
        <x:v>Owner records Approved / Rejected / Needs clarification with a reason and supporting evidence.</x:v>
      </x:c>
      <x:c r="H98" s="11" t="str">
        <x:v>Not executed</x:v>
      </x:c>
      <x:c r="I98" s="11" t="str"/>
      <x:c r="J98" s="11" t="str"/>
      <x:c r="K98" s="11" t="str"/>
      <x:c r="L98" s="12" t="str"/>
      <x:c r="M98" s="12" t="str"/>
      <x:c r="N98" s="11" t="str"/>
      <x:c r="O98" s="11" t="str">
        <x:v>Pending</x:v>
      </x:c>
      <x:c r="P98" s="13" t="str">
        <x:f>IF(H98&lt;&gt;"Passed","Pending",IF(AND(LEN(I98)&gt;0,LEN(J98)&gt;0,LEN(K98)&gt;0,ISNUMBER(L98)),"Ready","Missing evidence"))</x:f>
        <x:v>Pending</x:v>
      </x:c>
      <x:c r="Q98" s="13" t="str">
        <x:f>IF(ISNUMBER(M98),IF(AND(M98&lt;Dashboard!$B$4,P98&lt;&gt;"Ready"),"Overdue","On track"),"No due date")</x:f>
        <x:v>No due date</x:v>
      </x:c>
    </x:row>
    <x:row r="99" ht="54" customHeight="1">
      <x:c r="A99" s="10" t="str">
        <x:v>ADS</x:v>
      </x:c>
      <x:c r="B99" s="10" t="str">
        <x:v>ADS-UAT-08-A</x:v>
      </x:c>
      <x:c r="C99" s="10" t="str">
        <x:v>ADS-REQ-08</x:v>
      </x:c>
      <x:c r="D99" s="10" t="str">
        <x:v>Acceptance</x:v>
      </x:c>
      <x:c r="E99" s="10" t="str">
        <x:v>Use a disposable fixture for changed data; supplied source stays immutable. Application tests require a configured environment.</x:v>
      </x:c>
      <x:c r="F99" s="10" t="str">
        <x:v>Review requirement ADS-REQ-08; load the unchanged supplied source; inspect the proposed control and execute it in a future configured application.</x:v>
      </x:c>
      <x:c r="G99" s="10" t="str">
        <x:v>A future access test prevents viewer budget edits; prototype CSV has no role enforcement.</x:v>
      </x:c>
      <x:c r="H99" s="11" t="str">
        <x:v>Not executed</x:v>
      </x:c>
      <x:c r="I99" s="11" t="str"/>
      <x:c r="J99" s="11" t="str"/>
      <x:c r="K99" s="11" t="str"/>
      <x:c r="L99" s="12" t="str"/>
      <x:c r="M99" s="12" t="str"/>
      <x:c r="N99" s="11" t="str"/>
      <x:c r="O99" s="11" t="str">
        <x:v>Pending</x:v>
      </x:c>
      <x:c r="P99" s="13" t="str">
        <x:f>IF(H99&lt;&gt;"Passed","Pending",IF(AND(LEN(I99)&gt;0,LEN(J99)&gt;0,LEN(K99)&gt;0,ISNUMBER(L99)),"Ready","Missing evidence"))</x:f>
        <x:v>Pending</x:v>
      </x:c>
      <x:c r="Q99" s="13" t="str">
        <x:f>IF(ISNUMBER(M99),IF(AND(M99&lt;Dashboard!$B$4,P99&lt;&gt;"Ready"),"Overdue","On track"),"No due date")</x:f>
        <x:v>No due date</x:v>
      </x:c>
    </x:row>
    <x:row r="100" ht="68" customHeight="1">
      <x:c r="A100" s="10" t="str">
        <x:v>ADS</x:v>
      </x:c>
      <x:c r="B100" s="10" t="str">
        <x:v>ADS-UAT-08-B</x:v>
      </x:c>
      <x:c r="C100" s="10" t="str">
        <x:v>ADS-REQ-08</x:v>
      </x:c>
      <x:c r="D100" s="10" t="str">
        <x:v>Boundary / exception</x:v>
      </x:c>
      <x:c r="E100" s="10" t="str">
        <x:v>Use a disposable fixture for changed data; supplied source stays immutable. Application tests require a configured environment.</x:v>
      </x:c>
      <x:c r="F100" s="10" t="str">
        <x:v>Prepare a disposable case for this rule: Unauthorized budget changes are blocked in a future configured system; local CSV has no such control. Re-run the applicable SQL or execute the control in the future configured application.</x:v>
      </x:c>
      <x:c r="G100" s="10" t="str">
        <x:v>Unauthorized budget changes are blocked in a future configured system; local CSV has no such control.</x:v>
      </x:c>
      <x:c r="H100" s="11" t="str">
        <x:v>Not executed</x:v>
      </x:c>
      <x:c r="I100" s="11" t="str"/>
      <x:c r="J100" s="11" t="str"/>
      <x:c r="K100" s="11" t="str"/>
      <x:c r="L100" s="12" t="str"/>
      <x:c r="M100" s="12" t="str"/>
      <x:c r="N100" s="11" t="str"/>
      <x:c r="O100" s="11" t="str">
        <x:v>Pending</x:v>
      </x:c>
      <x:c r="P100" s="13" t="str">
        <x:f>IF(H100&lt;&gt;"Passed","Pending",IF(AND(LEN(I100)&gt;0,LEN(J100)&gt;0,LEN(K100)&gt;0,ISNUMBER(L100)),"Ready","Missing evidence"))</x:f>
        <x:v>Pending</x:v>
      </x:c>
      <x:c r="Q100" s="13" t="str">
        <x:f>IF(ISNUMBER(M100),IF(AND(M100&lt;Dashboard!$B$4,P100&lt;&gt;"Ready"),"Overdue","On track"),"No due date")</x:f>
        <x:v>No due date</x:v>
      </x:c>
    </x:row>
    <x:row r="101" ht="54" customHeight="1">
      <x:c r="A101" s="10" t="str">
        <x:v>ADS</x:v>
      </x:c>
      <x:c r="B101" s="10" t="str">
        <x:v>ADS-UAT-08-C</x:v>
      </x:c>
      <x:c r="C101" s="10" t="str">
        <x:v>ADS-REQ-08</x:v>
      </x:c>
      <x:c r="D101" s="10" t="str">
        <x:v>Business review</x:v>
      </x:c>
      <x:c r="E101" s="10" t="str">
        <x:v>Use a disposable fixture for changed data; supplied source stays immutable. Application tests require a configured environment.</x:v>
      </x:c>
      <x:c r="F101" s="10" t="str">
        <x:v>Ask the Marketing Operations Manager to review the labels, scope, evidence, and recommendation against ADS-REQ-08.</x:v>
      </x:c>
      <x:c r="G101" s="10" t="str">
        <x:v>Owner records Approved / Rejected / Needs clarification with a reason and supporting evidence.</x:v>
      </x:c>
      <x:c r="H101" s="11" t="str">
        <x:v>Not executed</x:v>
      </x:c>
      <x:c r="I101" s="11" t="str"/>
      <x:c r="J101" s="11" t="str"/>
      <x:c r="K101" s="11" t="str"/>
      <x:c r="L101" s="12" t="str"/>
      <x:c r="M101" s="12" t="str"/>
      <x:c r="N101" s="11" t="str"/>
      <x:c r="O101" s="11" t="str">
        <x:v>Pending</x:v>
      </x:c>
      <x:c r="P101" s="13" t="str">
        <x:f>IF(H101&lt;&gt;"Passed","Pending",IF(AND(LEN(I101)&gt;0,LEN(J101)&gt;0,LEN(K101)&gt;0,ISNUMBER(L101)),"Ready","Missing evidence"))</x:f>
        <x:v>Pending</x:v>
      </x:c>
      <x:c r="Q101" s="13" t="str">
        <x:f>IF(ISNUMBER(M101),IF(AND(M101&lt;Dashboard!$B$4,P101&lt;&gt;"Ready"),"Overdue","On track"),"No due date")</x:f>
        <x:v>No due date</x:v>
      </x:c>
    </x:row>
    <x:row r="102" ht="54" customHeight="1">
      <x:c r="A102" s="10" t="str">
        <x:v>REG</x:v>
      </x:c>
      <x:c r="B102" s="10" t="str">
        <x:v>REG-UAT-01-A</x:v>
      </x:c>
      <x:c r="C102" s="10" t="str">
        <x:v>REG-REQ-01</x:v>
      </x:c>
      <x:c r="D102" s="10" t="str">
        <x:v>Acceptance</x:v>
      </x:c>
      <x:c r="E102" s="10" t="str">
        <x:v>Use a disposable fixture for changed data; supplied source stays immutable. Application tests require a configured environment.</x:v>
      </x:c>
      <x:c r="F102" s="10" t="str">
        <x:v>Review requirement REG-REQ-01; load the unchanged supplied source; inspect Q01 result and independently recompute its control totals.</x:v>
      </x:c>
      <x:c r="G102" s="10" t="str">
        <x:v>No duplicate candidate keys or conflicting mappings are silently accepted.</x:v>
      </x:c>
      <x:c r="H102" s="11" t="str">
        <x:v>Not executed</x:v>
      </x:c>
      <x:c r="I102" s="11" t="str"/>
      <x:c r="J102" s="11" t="str"/>
      <x:c r="K102" s="11" t="str"/>
      <x:c r="L102" s="12" t="str"/>
      <x:c r="M102" s="12" t="str"/>
      <x:c r="N102" s="11" t="str"/>
      <x:c r="O102" s="11" t="str">
        <x:v>Pending</x:v>
      </x:c>
      <x:c r="P102" s="13" t="str">
        <x:f>IF(H102&lt;&gt;"Passed","Pending",IF(AND(LEN(I102)&gt;0,LEN(J102)&gt;0,LEN(K102)&gt;0,ISNUMBER(L102)),"Ready","Missing evidence"))</x:f>
        <x:v>Pending</x:v>
      </x:c>
      <x:c r="Q102" s="13" t="str">
        <x:f>IF(ISNUMBER(M102),IF(AND(M102&lt;Dashboard!$B$4,P102&lt;&gt;"Ready"),"Overdue","On track"),"No due date")</x:f>
        <x:v>No due date</x:v>
      </x:c>
    </x:row>
    <x:row r="103" ht="68" customHeight="1">
      <x:c r="A103" s="10" t="str">
        <x:v>REG</x:v>
      </x:c>
      <x:c r="B103" s="10" t="str">
        <x:v>REG-UAT-01-B</x:v>
      </x:c>
      <x:c r="C103" s="10" t="str">
        <x:v>REG-REQ-01</x:v>
      </x:c>
      <x:c r="D103" s="10" t="str">
        <x:v>Boundary / exception</x:v>
      </x:c>
      <x:c r="E103" s="10" t="str">
        <x:v>Use a disposable fixture for changed data; supplied source stays immutable. Application tests require a configured environment.</x:v>
      </x:c>
      <x:c r="F103" s="10" t="str">
        <x:v>Prepare a disposable case for this rule: Duplicate restaurant-month keys and conflicting city/zone mappings are reported rather than silently summed. Re-run the applicable SQL or execute the control in the future configured application.</x:v>
      </x:c>
      <x:c r="G103" s="10" t="str">
        <x:v>Duplicate restaurant-month keys and conflicting city/zone mappings are reported rather than silently summed.</x:v>
      </x:c>
      <x:c r="H103" s="11" t="str">
        <x:v>Not executed</x:v>
      </x:c>
      <x:c r="I103" s="11" t="str"/>
      <x:c r="J103" s="11" t="str"/>
      <x:c r="K103" s="11" t="str"/>
      <x:c r="L103" s="12" t="str"/>
      <x:c r="M103" s="12" t="str"/>
      <x:c r="N103" s="11" t="str"/>
      <x:c r="O103" s="11" t="str">
        <x:v>Pending</x:v>
      </x:c>
      <x:c r="P103" s="13" t="str">
        <x:f>IF(H103&lt;&gt;"Passed","Pending",IF(AND(LEN(I103)&gt;0,LEN(J103)&gt;0,LEN(K103)&gt;0,ISNUMBER(L103)),"Ready","Missing evidence"))</x:f>
        <x:v>Pending</x:v>
      </x:c>
      <x:c r="Q103" s="13" t="str">
        <x:f>IF(ISNUMBER(M103),IF(AND(M103&lt;Dashboard!$B$4,P103&lt;&gt;"Ready"),"Overdue","On track"),"No due date")</x:f>
        <x:v>No due date</x:v>
      </x:c>
    </x:row>
    <x:row r="104" ht="54" customHeight="1">
      <x:c r="A104" s="10" t="str">
        <x:v>REG</x:v>
      </x:c>
      <x:c r="B104" s="10" t="str">
        <x:v>REG-UAT-01-C</x:v>
      </x:c>
      <x:c r="C104" s="10" t="str">
        <x:v>REG-REQ-01</x:v>
      </x:c>
      <x:c r="D104" s="10" t="str">
        <x:v>Business review</x:v>
      </x:c>
      <x:c r="E104" s="10" t="str">
        <x:v>Use a disposable fixture for changed data; supplied source stays immutable. Application tests require a configured environment.</x:v>
      </x:c>
      <x:c r="F104" s="10" t="str">
        <x:v>Ask the Sales Operations Manager to review the labels, scope, evidence, and recommendation against REG-REQ-01.</x:v>
      </x:c>
      <x:c r="G104" s="10" t="str">
        <x:v>Owner records Approved / Rejected / Needs clarification with a reason and supporting evidence.</x:v>
      </x:c>
      <x:c r="H104" s="11" t="str">
        <x:v>Not executed</x:v>
      </x:c>
      <x:c r="I104" s="11" t="str"/>
      <x:c r="J104" s="11" t="str"/>
      <x:c r="K104" s="11" t="str"/>
      <x:c r="L104" s="12" t="str"/>
      <x:c r="M104" s="12" t="str"/>
      <x:c r="N104" s="11" t="str"/>
      <x:c r="O104" s="11" t="str">
        <x:v>Pending</x:v>
      </x:c>
      <x:c r="P104" s="13" t="str">
        <x:f>IF(H104&lt;&gt;"Passed","Pending",IF(AND(LEN(I104)&gt;0,LEN(J104)&gt;0,LEN(K104)&gt;0,ISNUMBER(L104)),"Ready","Missing evidence"))</x:f>
        <x:v>Pending</x:v>
      </x:c>
      <x:c r="Q104" s="13" t="str">
        <x:f>IF(ISNUMBER(M104),IF(AND(M104&lt;Dashboard!$B$4,P104&lt;&gt;"Ready"),"Overdue","On track"),"No due date")</x:f>
        <x:v>No due date</x:v>
      </x:c>
    </x:row>
    <x:row r="105" ht="54" customHeight="1">
      <x:c r="A105" s="10" t="str">
        <x:v>REG</x:v>
      </x:c>
      <x:c r="B105" s="10" t="str">
        <x:v>REG-UAT-02-A</x:v>
      </x:c>
      <x:c r="C105" s="10" t="str">
        <x:v>REG-REQ-02</x:v>
      </x:c>
      <x:c r="D105" s="10" t="str">
        <x:v>Acceptance</x:v>
      </x:c>
      <x:c r="E105" s="10" t="str">
        <x:v>Use a disposable fixture for changed data; supplied source stays immutable. Application tests require a configured environment.</x:v>
      </x:c>
      <x:c r="F105" s="10" t="str">
        <x:v>Review requirement REG-REQ-02; load the unchanged supplied source; inspect Q02 result and independently recompute its control totals.</x:v>
      </x:c>
      <x:c r="G105" s="10" t="str">
        <x:v>Each grouping independently reconciles to portfolio sales within $0.01.</x:v>
      </x:c>
      <x:c r="H105" s="11" t="str">
        <x:v>Not executed</x:v>
      </x:c>
      <x:c r="I105" s="11" t="str"/>
      <x:c r="J105" s="11" t="str"/>
      <x:c r="K105" s="11" t="str"/>
      <x:c r="L105" s="12" t="str"/>
      <x:c r="M105" s="12" t="str"/>
      <x:c r="N105" s="11" t="str"/>
      <x:c r="O105" s="11" t="str">
        <x:v>Pending</x:v>
      </x:c>
      <x:c r="P105" s="13" t="str">
        <x:f>IF(H105&lt;&gt;"Passed","Pending",IF(AND(LEN(I105)&gt;0,LEN(J105)&gt;0,LEN(K105)&gt;0,ISNUMBER(L105)),"Ready","Missing evidence"))</x:f>
        <x:v>Pending</x:v>
      </x:c>
      <x:c r="Q105" s="13" t="str">
        <x:f>IF(ISNUMBER(M105),IF(AND(M105&lt;Dashboard!$B$4,P105&lt;&gt;"Ready"),"Overdue","On track"),"No due date")</x:f>
        <x:v>No due date</x:v>
      </x:c>
    </x:row>
    <x:row r="106" ht="68" customHeight="1">
      <x:c r="A106" s="10" t="str">
        <x:v>REG</x:v>
      </x:c>
      <x:c r="B106" s="10" t="str">
        <x:v>REG-UAT-02-B</x:v>
      </x:c>
      <x:c r="C106" s="10" t="str">
        <x:v>REG-REQ-02</x:v>
      </x:c>
      <x:c r="D106" s="10" t="str">
        <x:v>Boundary / exception</x:v>
      </x:c>
      <x:c r="E106" s="10" t="str">
        <x:v>Use a disposable fixture for changed data; supplied source stays immutable. Application tests require a configured environment.</x:v>
      </x:c>
      <x:c r="F106" s="10" t="str">
        <x:v>Prepare a disposable case for this rule: A restaurant has one stable zone in the supplied data; a changed mapping requires an effective-dated production design. Re-run the applicable SQL or execute the control in the future configured application.</x:v>
      </x:c>
      <x:c r="G106" s="10" t="str">
        <x:v>A restaurant has one stable zone in the supplied data; a changed mapping requires an effective-dated production design.</x:v>
      </x:c>
      <x:c r="H106" s="11" t="str">
        <x:v>Not executed</x:v>
      </x:c>
      <x:c r="I106" s="11" t="str"/>
      <x:c r="J106" s="11" t="str"/>
      <x:c r="K106" s="11" t="str"/>
      <x:c r="L106" s="12" t="str"/>
      <x:c r="M106" s="12" t="str"/>
      <x:c r="N106" s="11" t="str"/>
      <x:c r="O106" s="11" t="str">
        <x:v>Pending</x:v>
      </x:c>
      <x:c r="P106" s="13" t="str">
        <x:f>IF(H106&lt;&gt;"Passed","Pending",IF(AND(LEN(I106)&gt;0,LEN(J106)&gt;0,LEN(K106)&gt;0,ISNUMBER(L106)),"Ready","Missing evidence"))</x:f>
        <x:v>Pending</x:v>
      </x:c>
      <x:c r="Q106" s="13" t="str">
        <x:f>IF(ISNUMBER(M106),IF(AND(M106&lt;Dashboard!$B$4,P106&lt;&gt;"Ready"),"Overdue","On track"),"No due date")</x:f>
        <x:v>No due date</x:v>
      </x:c>
    </x:row>
    <x:row r="107" ht="54" customHeight="1">
      <x:c r="A107" s="10" t="str">
        <x:v>REG</x:v>
      </x:c>
      <x:c r="B107" s="10" t="str">
        <x:v>REG-UAT-02-C</x:v>
      </x:c>
      <x:c r="C107" s="10" t="str">
        <x:v>REG-REQ-02</x:v>
      </x:c>
      <x:c r="D107" s="10" t="str">
        <x:v>Business review</x:v>
      </x:c>
      <x:c r="E107" s="10" t="str">
        <x:v>Use a disposable fixture for changed data; supplied source stays immutable. Application tests require a configured environment.</x:v>
      </x:c>
      <x:c r="F107" s="10" t="str">
        <x:v>Ask the Sales Operations Manager to review the labels, scope, evidence, and recommendation against REG-REQ-02.</x:v>
      </x:c>
      <x:c r="G107" s="10" t="str">
        <x:v>Owner records Approved / Rejected / Needs clarification with a reason and supporting evidence.</x:v>
      </x:c>
      <x:c r="H107" s="11" t="str">
        <x:v>Not executed</x:v>
      </x:c>
      <x:c r="I107" s="11" t="str"/>
      <x:c r="J107" s="11" t="str"/>
      <x:c r="K107" s="11" t="str"/>
      <x:c r="L107" s="12" t="str"/>
      <x:c r="M107" s="12" t="str"/>
      <x:c r="N107" s="11" t="str"/>
      <x:c r="O107" s="11" t="str">
        <x:v>Pending</x:v>
      </x:c>
      <x:c r="P107" s="13" t="str">
        <x:f>IF(H107&lt;&gt;"Passed","Pending",IF(AND(LEN(I107)&gt;0,LEN(J107)&gt;0,LEN(K107)&gt;0,ISNUMBER(L107)),"Ready","Missing evidence"))</x:f>
        <x:v>Pending</x:v>
      </x:c>
      <x:c r="Q107" s="13" t="str">
        <x:f>IF(ISNUMBER(M107),IF(AND(M107&lt;Dashboard!$B$4,P107&lt;&gt;"Ready"),"Overdue","On track"),"No due date")</x:f>
        <x:v>No due date</x:v>
      </x:c>
    </x:row>
    <x:row r="108" ht="54" customHeight="1">
      <x:c r="A108" s="10" t="str">
        <x:v>REG</x:v>
      </x:c>
      <x:c r="B108" s="10" t="str">
        <x:v>REG-UAT-03-A</x:v>
      </x:c>
      <x:c r="C108" s="10" t="str">
        <x:v>REG-REQ-03</x:v>
      </x:c>
      <x:c r="D108" s="10" t="str">
        <x:v>Acceptance</x:v>
      </x:c>
      <x:c r="E108" s="10" t="str">
        <x:v>Use a disposable fixture for changed data; supplied source stays immutable. Application tests require a configured environment.</x:v>
      </x:c>
      <x:c r="F108" s="10" t="str">
        <x:v>Review requirement REG-REQ-03; load the unchanged supplied source; inspect Q03 result and independently recompute its control totals.</x:v>
      </x:c>
      <x:c r="G108" s="10" t="str">
        <x:v>July has no prior comparison; a missing August makes September comparison null.</x:v>
      </x:c>
      <x:c r="H108" s="11" t="str">
        <x:v>Not executed</x:v>
      </x:c>
      <x:c r="I108" s="11" t="str"/>
      <x:c r="J108" s="11" t="str"/>
      <x:c r="K108" s="11" t="str"/>
      <x:c r="L108" s="12" t="str"/>
      <x:c r="M108" s="12" t="str"/>
      <x:c r="N108" s="11" t="str"/>
      <x:c r="O108" s="11" t="str">
        <x:v>Pending</x:v>
      </x:c>
      <x:c r="P108" s="13" t="str">
        <x:f>IF(H108&lt;&gt;"Passed","Pending",IF(AND(LEN(I108)&gt;0,LEN(J108)&gt;0,LEN(K108)&gt;0,ISNUMBER(L108)),"Ready","Missing evidence"))</x:f>
        <x:v>Pending</x:v>
      </x:c>
      <x:c r="Q108" s="13" t="str">
        <x:f>IF(ISNUMBER(M108),IF(AND(M108&lt;Dashboard!$B$4,P108&lt;&gt;"Ready"),"Overdue","On track"),"No due date")</x:f>
        <x:v>No due date</x:v>
      </x:c>
    </x:row>
    <x:row r="109" ht="68" customHeight="1">
      <x:c r="A109" s="10" t="str">
        <x:v>REG</x:v>
      </x:c>
      <x:c r="B109" s="10" t="str">
        <x:v>REG-UAT-03-B</x:v>
      </x:c>
      <x:c r="C109" s="10" t="str">
        <x:v>REG-REQ-03</x:v>
      </x:c>
      <x:c r="D109" s="10" t="str">
        <x:v>Boundary / exception</x:v>
      </x:c>
      <x:c r="E109" s="10" t="str">
        <x:v>Use a disposable fixture for changed data; supplied source stays immutable. Application tests require a configured environment.</x:v>
      </x:c>
      <x:c r="F109" s="10" t="str">
        <x:v>Prepare a disposable case for this rule: September following July without August has null adjacent-month change. Re-run the applicable SQL or execute the control in the future configured application.</x:v>
      </x:c>
      <x:c r="G109" s="10" t="str">
        <x:v>September following July without August has null adjacent-month change.</x:v>
      </x:c>
      <x:c r="H109" s="11" t="str">
        <x:v>Not executed</x:v>
      </x:c>
      <x:c r="I109" s="11" t="str"/>
      <x:c r="J109" s="11" t="str"/>
      <x:c r="K109" s="11" t="str"/>
      <x:c r="L109" s="12" t="str"/>
      <x:c r="M109" s="12" t="str"/>
      <x:c r="N109" s="11" t="str"/>
      <x:c r="O109" s="11" t="str">
        <x:v>Pending</x:v>
      </x:c>
      <x:c r="P109" s="13" t="str">
        <x:f>IF(H109&lt;&gt;"Passed","Pending",IF(AND(LEN(I109)&gt;0,LEN(J109)&gt;0,LEN(K109)&gt;0,ISNUMBER(L109)),"Ready","Missing evidence"))</x:f>
        <x:v>Pending</x:v>
      </x:c>
      <x:c r="Q109" s="13" t="str">
        <x:f>IF(ISNUMBER(M109),IF(AND(M109&lt;Dashboard!$B$4,P109&lt;&gt;"Ready"),"Overdue","On track"),"No due date")</x:f>
        <x:v>No due date</x:v>
      </x:c>
    </x:row>
    <x:row r="110" ht="54" customHeight="1">
      <x:c r="A110" s="10" t="str">
        <x:v>REG</x:v>
      </x:c>
      <x:c r="B110" s="10" t="str">
        <x:v>REG-UAT-03-C</x:v>
      </x:c>
      <x:c r="C110" s="10" t="str">
        <x:v>REG-REQ-03</x:v>
      </x:c>
      <x:c r="D110" s="10" t="str">
        <x:v>Business review</x:v>
      </x:c>
      <x:c r="E110" s="10" t="str">
        <x:v>Use a disposable fixture for changed data; supplied source stays immutable. Application tests require a configured environment.</x:v>
      </x:c>
      <x:c r="F110" s="10" t="str">
        <x:v>Ask the Sales Operations Manager to review the labels, scope, evidence, and recommendation against REG-REQ-03.</x:v>
      </x:c>
      <x:c r="G110" s="10" t="str">
        <x:v>Owner records Approved / Rejected / Needs clarification with a reason and supporting evidence.</x:v>
      </x:c>
      <x:c r="H110" s="11" t="str">
        <x:v>Not executed</x:v>
      </x:c>
      <x:c r="I110" s="11" t="str"/>
      <x:c r="J110" s="11" t="str"/>
      <x:c r="K110" s="11" t="str"/>
      <x:c r="L110" s="12" t="str"/>
      <x:c r="M110" s="12" t="str"/>
      <x:c r="N110" s="11" t="str"/>
      <x:c r="O110" s="11" t="str">
        <x:v>Pending</x:v>
      </x:c>
      <x:c r="P110" s="13" t="str">
        <x:f>IF(H110&lt;&gt;"Passed","Pending",IF(AND(LEN(I110)&gt;0,LEN(J110)&gt;0,LEN(K110)&gt;0,ISNUMBER(L110)),"Ready","Missing evidence"))</x:f>
        <x:v>Pending</x:v>
      </x:c>
      <x:c r="Q110" s="13" t="str">
        <x:f>IF(ISNUMBER(M110),IF(AND(M110&lt;Dashboard!$B$4,P110&lt;&gt;"Ready"),"Overdue","On track"),"No due date")</x:f>
        <x:v>No due date</x:v>
      </x:c>
    </x:row>
    <x:row r="111" ht="54" customHeight="1">
      <x:c r="A111" s="10" t="str">
        <x:v>REG</x:v>
      </x:c>
      <x:c r="B111" s="10" t="str">
        <x:v>REG-UAT-04-A</x:v>
      </x:c>
      <x:c r="C111" s="10" t="str">
        <x:v>REG-REQ-04</x:v>
      </x:c>
      <x:c r="D111" s="10" t="str">
        <x:v>Acceptance</x:v>
      </x:c>
      <x:c r="E111" s="10" t="str">
        <x:v>Use a disposable fixture for changed data; supplied source stays immutable. Application tests require a configured environment.</x:v>
      </x:c>
      <x:c r="F111" s="10" t="str">
        <x:v>Review requirement REG-REQ-04; load the unchanged supplied source; inspect Q04 result and independently recompute its control totals.</x:v>
      </x:c>
      <x:c r="G111" s="10" t="str">
        <x:v>Ranks use the full selected period and ties resolve deterministically.</x:v>
      </x:c>
      <x:c r="H111" s="11" t="str">
        <x:v>Not executed</x:v>
      </x:c>
      <x:c r="I111" s="11" t="str"/>
      <x:c r="J111" s="11" t="str"/>
      <x:c r="K111" s="11" t="str"/>
      <x:c r="L111" s="12" t="str"/>
      <x:c r="M111" s="12" t="str"/>
      <x:c r="N111" s="11" t="str"/>
      <x:c r="O111" s="11" t="str">
        <x:v>Pending</x:v>
      </x:c>
      <x:c r="P111" s="13" t="str">
        <x:f>IF(H111&lt;&gt;"Passed","Pending",IF(AND(LEN(I111)&gt;0,LEN(J111)&gt;0,LEN(K111)&gt;0,ISNUMBER(L111)),"Ready","Missing evidence"))</x:f>
        <x:v>Pending</x:v>
      </x:c>
      <x:c r="Q111" s="13" t="str">
        <x:f>IF(ISNUMBER(M111),IF(AND(M111&lt;Dashboard!$B$4,P111&lt;&gt;"Ready"),"Overdue","On track"),"No due date")</x:f>
        <x:v>No due date</x:v>
      </x:c>
    </x:row>
    <x:row r="112" ht="68" customHeight="1">
      <x:c r="A112" s="10" t="str">
        <x:v>REG</x:v>
      </x:c>
      <x:c r="B112" s="10" t="str">
        <x:v>REG-UAT-04-B</x:v>
      </x:c>
      <x:c r="C112" s="10" t="str">
        <x:v>REG-REQ-04</x:v>
      </x:c>
      <x:c r="D112" s="10" t="str">
        <x:v>Boundary / exception</x:v>
      </x:c>
      <x:c r="E112" s="10" t="str">
        <x:v>Use a disposable fixture for changed data; supplied source stays immutable. Application tests require a configured environment.</x:v>
      </x:c>
      <x:c r="F112" s="10" t="str">
        <x:v>Prepare a disposable case for this rule: Tied sales use restaurant_id ordering; compare the same reporting population. Re-run the applicable SQL or execute the control in the future configured application.</x:v>
      </x:c>
      <x:c r="G112" s="10" t="str">
        <x:v>Tied sales use restaurant_id ordering; compare the same reporting population.</x:v>
      </x:c>
      <x:c r="H112" s="11" t="str">
        <x:v>Not executed</x:v>
      </x:c>
      <x:c r="I112" s="11" t="str"/>
      <x:c r="J112" s="11" t="str"/>
      <x:c r="K112" s="11" t="str"/>
      <x:c r="L112" s="12" t="str"/>
      <x:c r="M112" s="12" t="str"/>
      <x:c r="N112" s="11" t="str"/>
      <x:c r="O112" s="11" t="str">
        <x:v>Pending</x:v>
      </x:c>
      <x:c r="P112" s="13" t="str">
        <x:f>IF(H112&lt;&gt;"Passed","Pending",IF(AND(LEN(I112)&gt;0,LEN(J112)&gt;0,LEN(K112)&gt;0,ISNUMBER(L112)),"Ready","Missing evidence"))</x:f>
        <x:v>Pending</x:v>
      </x:c>
      <x:c r="Q112" s="13" t="str">
        <x:f>IF(ISNUMBER(M112),IF(AND(M112&lt;Dashboard!$B$4,P112&lt;&gt;"Ready"),"Overdue","On track"),"No due date")</x:f>
        <x:v>No due date</x:v>
      </x:c>
    </x:row>
    <x:row r="113" ht="54" customHeight="1">
      <x:c r="A113" s="10" t="str">
        <x:v>REG</x:v>
      </x:c>
      <x:c r="B113" s="10" t="str">
        <x:v>REG-UAT-04-C</x:v>
      </x:c>
      <x:c r="C113" s="10" t="str">
        <x:v>REG-REQ-04</x:v>
      </x:c>
      <x:c r="D113" s="10" t="str">
        <x:v>Business review</x:v>
      </x:c>
      <x:c r="E113" s="10" t="str">
        <x:v>Use a disposable fixture for changed data; supplied source stays immutable. Application tests require a configured environment.</x:v>
      </x:c>
      <x:c r="F113" s="10" t="str">
        <x:v>Ask the Sales Operations Manager to review the labels, scope, evidence, and recommendation against REG-REQ-04.</x:v>
      </x:c>
      <x:c r="G113" s="10" t="str">
        <x:v>Owner records Approved / Rejected / Needs clarification with a reason and supporting evidence.</x:v>
      </x:c>
      <x:c r="H113" s="11" t="str">
        <x:v>Not executed</x:v>
      </x:c>
      <x:c r="I113" s="11" t="str"/>
      <x:c r="J113" s="11" t="str"/>
      <x:c r="K113" s="11" t="str"/>
      <x:c r="L113" s="12" t="str"/>
      <x:c r="M113" s="12" t="str"/>
      <x:c r="N113" s="11" t="str"/>
      <x:c r="O113" s="11" t="str">
        <x:v>Pending</x:v>
      </x:c>
      <x:c r="P113" s="13" t="str">
        <x:f>IF(H113&lt;&gt;"Passed","Pending",IF(AND(LEN(I113)&gt;0,LEN(J113)&gt;0,LEN(K113)&gt;0,ISNUMBER(L113)),"Ready","Missing evidence"))</x:f>
        <x:v>Pending</x:v>
      </x:c>
      <x:c r="Q113" s="13" t="str">
        <x:f>IF(ISNUMBER(M113),IF(AND(M113&lt;Dashboard!$B$4,P113&lt;&gt;"Ready"),"Overdue","On track"),"No due date")</x:f>
        <x:v>No due date</x:v>
      </x:c>
    </x:row>
    <x:row r="114" ht="54" customHeight="1">
      <x:c r="A114" s="10" t="str">
        <x:v>REG</x:v>
      </x:c>
      <x:c r="B114" s="10" t="str">
        <x:v>REG-UAT-05-A</x:v>
      </x:c>
      <x:c r="C114" s="10" t="str">
        <x:v>REG-REQ-05</x:v>
      </x:c>
      <x:c r="D114" s="10" t="str">
        <x:v>Acceptance</x:v>
      </x:c>
      <x:c r="E114" s="10" t="str">
        <x:v>Use a disposable fixture for changed data; supplied source stays immutable. Application tests require a configured environment.</x:v>
      </x:c>
      <x:c r="F114" s="10" t="str">
        <x:v>Review requirement REG-REQ-05; load the unchanged supplied source; inspect Q04 result and independently recompute its control totals.</x:v>
      </x:c>
      <x:c r="G114" s="10" t="str">
        <x:v>Restaurants with fewer than the extract month count are listed for investigation.</x:v>
      </x:c>
      <x:c r="H114" s="11" t="str">
        <x:v>Not executed</x:v>
      </x:c>
      <x:c r="I114" s="11" t="str"/>
      <x:c r="J114" s="11" t="str"/>
      <x:c r="K114" s="11" t="str"/>
      <x:c r="L114" s="12" t="str"/>
      <x:c r="M114" s="12" t="str"/>
      <x:c r="N114" s="11" t="str"/>
      <x:c r="O114" s="11" t="str">
        <x:v>Pending</x:v>
      </x:c>
      <x:c r="P114" s="13" t="str">
        <x:f>IF(H114&lt;&gt;"Passed","Pending",IF(AND(LEN(I114)&gt;0,LEN(J114)&gt;0,LEN(K114)&gt;0,ISNUMBER(L114)),"Ready","Missing evidence"))</x:f>
        <x:v>Pending</x:v>
      </x:c>
      <x:c r="Q114" s="13" t="str">
        <x:f>IF(ISNUMBER(M114),IF(AND(M114&lt;Dashboard!$B$4,P114&lt;&gt;"Ready"),"Overdue","On track"),"No due date")</x:f>
        <x:v>No due date</x:v>
      </x:c>
    </x:row>
    <x:row r="115" ht="68" customHeight="1">
      <x:c r="A115" s="10" t="str">
        <x:v>REG</x:v>
      </x:c>
      <x:c r="B115" s="10" t="str">
        <x:v>REG-UAT-05-B</x:v>
      </x:c>
      <x:c r="C115" s="10" t="str">
        <x:v>REG-REQ-05</x:v>
      </x:c>
      <x:c r="D115" s="10" t="str">
        <x:v>Boundary / exception</x:v>
      </x:c>
      <x:c r="E115" s="10" t="str">
        <x:v>Use a disposable fixture for changed data; supplied source stays immutable. Application tests require a configured environment.</x:v>
      </x:c>
      <x:c r="F115" s="10" t="str">
        <x:v>Prepare a disposable case for this rule: Absent restaurant-months are gaps, not zeros; obtain closure/operating-calendar context. Re-run the applicable SQL or execute the control in the future configured application.</x:v>
      </x:c>
      <x:c r="G115" s="10" t="str">
        <x:v>Absent restaurant-months are gaps, not zeros; obtain closure/operating-calendar context.</x:v>
      </x:c>
      <x:c r="H115" s="11" t="str">
        <x:v>Not executed</x:v>
      </x:c>
      <x:c r="I115" s="11" t="str"/>
      <x:c r="J115" s="11" t="str"/>
      <x:c r="K115" s="11" t="str"/>
      <x:c r="L115" s="12" t="str"/>
      <x:c r="M115" s="12" t="str"/>
      <x:c r="N115" s="11" t="str"/>
      <x:c r="O115" s="11" t="str">
        <x:v>Pending</x:v>
      </x:c>
      <x:c r="P115" s="13" t="str">
        <x:f>IF(H115&lt;&gt;"Passed","Pending",IF(AND(LEN(I115)&gt;0,LEN(J115)&gt;0,LEN(K115)&gt;0,ISNUMBER(L115)),"Ready","Missing evidence"))</x:f>
        <x:v>Pending</x:v>
      </x:c>
      <x:c r="Q115" s="13" t="str">
        <x:f>IF(ISNUMBER(M115),IF(AND(M115&lt;Dashboard!$B$4,P115&lt;&gt;"Ready"),"Overdue","On track"),"No due date")</x:f>
        <x:v>No due date</x:v>
      </x:c>
    </x:row>
    <x:row r="116" ht="54" customHeight="1">
      <x:c r="A116" s="10" t="str">
        <x:v>REG</x:v>
      </x:c>
      <x:c r="B116" s="10" t="str">
        <x:v>REG-UAT-05-C</x:v>
      </x:c>
      <x:c r="C116" s="10" t="str">
        <x:v>REG-REQ-05</x:v>
      </x:c>
      <x:c r="D116" s="10" t="str">
        <x:v>Business review</x:v>
      </x:c>
      <x:c r="E116" s="10" t="str">
        <x:v>Use a disposable fixture for changed data; supplied source stays immutable. Application tests require a configured environment.</x:v>
      </x:c>
      <x:c r="F116" s="10" t="str">
        <x:v>Ask the Sales Operations Manager to review the labels, scope, evidence, and recommendation against REG-REQ-05.</x:v>
      </x:c>
      <x:c r="G116" s="10" t="str">
        <x:v>Owner records Approved / Rejected / Needs clarification with a reason and supporting evidence.</x:v>
      </x:c>
      <x:c r="H116" s="11" t="str">
        <x:v>Not executed</x:v>
      </x:c>
      <x:c r="I116" s="11" t="str"/>
      <x:c r="J116" s="11" t="str"/>
      <x:c r="K116" s="11" t="str"/>
      <x:c r="L116" s="12" t="str"/>
      <x:c r="M116" s="12" t="str"/>
      <x:c r="N116" s="11" t="str"/>
      <x:c r="O116" s="11" t="str">
        <x:v>Pending</x:v>
      </x:c>
      <x:c r="P116" s="13" t="str">
        <x:f>IF(H116&lt;&gt;"Passed","Pending",IF(AND(LEN(I116)&gt;0,LEN(J116)&gt;0,LEN(K116)&gt;0,ISNUMBER(L116)),"Ready","Missing evidence"))</x:f>
        <x:v>Pending</x:v>
      </x:c>
      <x:c r="Q116" s="13" t="str">
        <x:f>IF(ISNUMBER(M116),IF(AND(M116&lt;Dashboard!$B$4,P116&lt;&gt;"Ready"),"Overdue","On track"),"No due date")</x:f>
        <x:v>No due date</x:v>
      </x:c>
    </x:row>
    <x:row r="117" ht="54" customHeight="1">
      <x:c r="A117" s="10" t="str">
        <x:v>REG</x:v>
      </x:c>
      <x:c r="B117" s="10" t="str">
        <x:v>REG-UAT-06-A</x:v>
      </x:c>
      <x:c r="C117" s="10" t="str">
        <x:v>REG-REQ-06</x:v>
      </x:c>
      <x:c r="D117" s="10" t="str">
        <x:v>Acceptance</x:v>
      </x:c>
      <x:c r="E117" s="10" t="str">
        <x:v>Use a disposable fixture for changed data; supplied source stays immutable. Application tests require a configured environment.</x:v>
      </x:c>
      <x:c r="F117" s="10" t="str">
        <x:v>Review requirement REG-REQ-06; load the unchanged supplied source; inspect Q02 result and independently recompute its control totals.</x:v>
      </x:c>
      <x:c r="G117" s="10" t="str">
        <x:v>All current metrics refer to sales; no YoY or profitability claim is presented.</x:v>
      </x:c>
      <x:c r="H117" s="11" t="str">
        <x:v>Not executed</x:v>
      </x:c>
      <x:c r="I117" s="11" t="str"/>
      <x:c r="J117" s="11" t="str"/>
      <x:c r="K117" s="11" t="str"/>
      <x:c r="L117" s="12" t="str"/>
      <x:c r="M117" s="12" t="str"/>
      <x:c r="N117" s="11" t="str"/>
      <x:c r="O117" s="11" t="str">
        <x:v>Pending</x:v>
      </x:c>
      <x:c r="P117" s="13" t="str">
        <x:f>IF(H117&lt;&gt;"Passed","Pending",IF(AND(LEN(I117)&gt;0,LEN(J117)&gt;0,LEN(K117)&gt;0,ISNUMBER(L117)),"Ready","Missing evidence"))</x:f>
        <x:v>Pending</x:v>
      </x:c>
      <x:c r="Q117" s="13" t="str">
        <x:f>IF(ISNUMBER(M117),IF(AND(M117&lt;Dashboard!$B$4,P117&lt;&gt;"Ready"),"Overdue","On track"),"No due date")</x:f>
        <x:v>No due date</x:v>
      </x:c>
    </x:row>
    <x:row r="118" ht="68" customHeight="1">
      <x:c r="A118" s="10" t="str">
        <x:v>REG</x:v>
      </x:c>
      <x:c r="B118" s="10" t="str">
        <x:v>REG-UAT-06-B</x:v>
      </x:c>
      <x:c r="C118" s="10" t="str">
        <x:v>REG-REQ-06</x:v>
      </x:c>
      <x:c r="D118" s="10" t="str">
        <x:v>Boundary / exception</x:v>
      </x:c>
      <x:c r="E118" s="10" t="str">
        <x:v>Use a disposable fixture for changed data; supplied source stays immutable. Application tests require a configured environment.</x:v>
      </x:c>
      <x:c r="F118" s="10" t="str">
        <x:v>Prepare a disposable case for this rule: No targets, costs, reps, or prior-year data exist; exclude unsupported measures. Re-run the applicable SQL or execute the control in the future configured application.</x:v>
      </x:c>
      <x:c r="G118" s="10" t="str">
        <x:v>No targets, costs, reps, or prior-year data exist; exclude unsupported measures.</x:v>
      </x:c>
      <x:c r="H118" s="11" t="str">
        <x:v>Not executed</x:v>
      </x:c>
      <x:c r="I118" s="11" t="str"/>
      <x:c r="J118" s="11" t="str"/>
      <x:c r="K118" s="11" t="str"/>
      <x:c r="L118" s="12" t="str"/>
      <x:c r="M118" s="12" t="str"/>
      <x:c r="N118" s="11" t="str"/>
      <x:c r="O118" s="11" t="str">
        <x:v>Pending</x:v>
      </x:c>
      <x:c r="P118" s="13" t="str">
        <x:f>IF(H118&lt;&gt;"Passed","Pending",IF(AND(LEN(I118)&gt;0,LEN(J118)&gt;0,LEN(K118)&gt;0,ISNUMBER(L118)),"Ready","Missing evidence"))</x:f>
        <x:v>Pending</x:v>
      </x:c>
      <x:c r="Q118" s="13" t="str">
        <x:f>IF(ISNUMBER(M118),IF(AND(M118&lt;Dashboard!$B$4,P118&lt;&gt;"Ready"),"Overdue","On track"),"No due date")</x:f>
        <x:v>No due date</x:v>
      </x:c>
    </x:row>
    <x:row r="119" ht="54" customHeight="1">
      <x:c r="A119" s="10" t="str">
        <x:v>REG</x:v>
      </x:c>
      <x:c r="B119" s="10" t="str">
        <x:v>REG-UAT-06-C</x:v>
      </x:c>
      <x:c r="C119" s="10" t="str">
        <x:v>REG-REQ-06</x:v>
      </x:c>
      <x:c r="D119" s="10" t="str">
        <x:v>Business review</x:v>
      </x:c>
      <x:c r="E119" s="10" t="str">
        <x:v>Use a disposable fixture for changed data; supplied source stays immutable. Application tests require a configured environment.</x:v>
      </x:c>
      <x:c r="F119" s="10" t="str">
        <x:v>Ask the Sales Operations Manager to review the labels, scope, evidence, and recommendation against REG-REQ-06.</x:v>
      </x:c>
      <x:c r="G119" s="10" t="str">
        <x:v>Owner records Approved / Rejected / Needs clarification with a reason and supporting evidence.</x:v>
      </x:c>
      <x:c r="H119" s="11" t="str">
        <x:v>Not executed</x:v>
      </x:c>
      <x:c r="I119" s="11" t="str"/>
      <x:c r="J119" s="11" t="str"/>
      <x:c r="K119" s="11" t="str"/>
      <x:c r="L119" s="12" t="str"/>
      <x:c r="M119" s="12" t="str"/>
      <x:c r="N119" s="11" t="str"/>
      <x:c r="O119" s="11" t="str">
        <x:v>Pending</x:v>
      </x:c>
      <x:c r="P119" s="13" t="str">
        <x:f>IF(H119&lt;&gt;"Passed","Pending",IF(AND(LEN(I119)&gt;0,LEN(J119)&gt;0,LEN(K119)&gt;0,ISNUMBER(L119)),"Ready","Missing evidence"))</x:f>
        <x:v>Pending</x:v>
      </x:c>
      <x:c r="Q119" s="13" t="str">
        <x:f>IF(ISNUMBER(M119),IF(AND(M119&lt;Dashboard!$B$4,P119&lt;&gt;"Ready"),"Overdue","On track"),"No due date")</x:f>
        <x:v>No due date</x:v>
      </x:c>
    </x:row>
    <x:row r="120" ht="54" customHeight="1">
      <x:c r="A120" s="10" t="str">
        <x:v>REG</x:v>
      </x:c>
      <x:c r="B120" s="10" t="str">
        <x:v>REG-UAT-07-A</x:v>
      </x:c>
      <x:c r="C120" s="10" t="str">
        <x:v>REG-REQ-07</x:v>
      </x:c>
      <x:c r="D120" s="10" t="str">
        <x:v>Acceptance</x:v>
      </x:c>
      <x:c r="E120" s="10" t="str">
        <x:v>Use a disposable fixture for changed data; supplied source stays immutable. Application tests require a configured environment.</x:v>
      </x:c>
      <x:c r="F120" s="10" t="str">
        <x:v>Review requirement REG-REQ-07; load the unchanged supplied source; inspect the proposed control and execute it in a future configured application.</x:v>
      </x:c>
      <x:c r="G120" s="10" t="str">
        <x:v>Design includes owner, reason, next action, due date, and review evidence.</x:v>
      </x:c>
      <x:c r="H120" s="11" t="str">
        <x:v>Not executed</x:v>
      </x:c>
      <x:c r="I120" s="11" t="str"/>
      <x:c r="J120" s="11" t="str"/>
      <x:c r="K120" s="11" t="str"/>
      <x:c r="L120" s="12" t="str"/>
      <x:c r="M120" s="12" t="str"/>
      <x:c r="N120" s="11" t="str"/>
      <x:c r="O120" s="11" t="str">
        <x:v>Pending</x:v>
      </x:c>
      <x:c r="P120" s="13" t="str">
        <x:f>IF(H120&lt;&gt;"Passed","Pending",IF(AND(LEN(I120)&gt;0,LEN(J120)&gt;0,LEN(K120)&gt;0,ISNUMBER(L120)),"Ready","Missing evidence"))</x:f>
        <x:v>Pending</x:v>
      </x:c>
      <x:c r="Q120" s="13" t="str">
        <x:f>IF(ISNUMBER(M120),IF(AND(M120&lt;Dashboard!$B$4,P120&lt;&gt;"Ready"),"Overdue","On track"),"No due date")</x:f>
        <x:v>No due date</x:v>
      </x:c>
    </x:row>
    <x:row r="121" ht="68" customHeight="1">
      <x:c r="A121" s="10" t="str">
        <x:v>REG</x:v>
      </x:c>
      <x:c r="B121" s="10" t="str">
        <x:v>REG-UAT-07-B</x:v>
      </x:c>
      <x:c r="C121" s="10" t="str">
        <x:v>REG-REQ-07</x:v>
      </x:c>
      <x:c r="D121" s="10" t="str">
        <x:v>Boundary / exception</x:v>
      </x:c>
      <x:c r="E121" s="10" t="str">
        <x:v>Use a disposable fixture for changed data; supplied source stays immutable. Application tests require a configured environment.</x:v>
      </x:c>
      <x:c r="F121" s="10" t="str">
        <x:v>Prepare a disposable case for this rule: A manager can reject a suspected cause and record a context request; retain the evidence and decision. Re-run the applicable SQL or execute the control in the future configured application.</x:v>
      </x:c>
      <x:c r="G121" s="10" t="str">
        <x:v>A manager can reject a suspected cause and record a context request; retain the evidence and decision.</x:v>
      </x:c>
      <x:c r="H121" s="11" t="str">
        <x:v>Not executed</x:v>
      </x:c>
      <x:c r="I121" s="11" t="str"/>
      <x:c r="J121" s="11" t="str"/>
      <x:c r="K121" s="11" t="str"/>
      <x:c r="L121" s="12" t="str"/>
      <x:c r="M121" s="12" t="str"/>
      <x:c r="N121" s="11" t="str"/>
      <x:c r="O121" s="11" t="str">
        <x:v>Pending</x:v>
      </x:c>
      <x:c r="P121" s="13" t="str">
        <x:f>IF(H121&lt;&gt;"Passed","Pending",IF(AND(LEN(I121)&gt;0,LEN(J121)&gt;0,LEN(K121)&gt;0,ISNUMBER(L121)),"Ready","Missing evidence"))</x:f>
        <x:v>Pending</x:v>
      </x:c>
      <x:c r="Q121" s="13" t="str">
        <x:f>IF(ISNUMBER(M121),IF(AND(M121&lt;Dashboard!$B$4,P121&lt;&gt;"Ready"),"Overdue","On track"),"No due date")</x:f>
        <x:v>No due date</x:v>
      </x:c>
    </x:row>
    <x:row r="122" ht="54" customHeight="1">
      <x:c r="A122" s="10" t="str">
        <x:v>REG</x:v>
      </x:c>
      <x:c r="B122" s="10" t="str">
        <x:v>REG-UAT-07-C</x:v>
      </x:c>
      <x:c r="C122" s="10" t="str">
        <x:v>REG-REQ-07</x:v>
      </x:c>
      <x:c r="D122" s="10" t="str">
        <x:v>Business review</x:v>
      </x:c>
      <x:c r="E122" s="10" t="str">
        <x:v>Use a disposable fixture for changed data; supplied source stays immutable. Application tests require a configured environment.</x:v>
      </x:c>
      <x:c r="F122" s="10" t="str">
        <x:v>Ask the Sales Operations Manager to review the labels, scope, evidence, and recommendation against REG-REQ-07.</x:v>
      </x:c>
      <x:c r="G122" s="10" t="str">
        <x:v>Owner records Approved / Rejected / Needs clarification with a reason and supporting evidence.</x:v>
      </x:c>
      <x:c r="H122" s="11" t="str">
        <x:v>Not executed</x:v>
      </x:c>
      <x:c r="I122" s="11" t="str"/>
      <x:c r="J122" s="11" t="str"/>
      <x:c r="K122" s="11" t="str"/>
      <x:c r="L122" s="12" t="str"/>
      <x:c r="M122" s="12" t="str"/>
      <x:c r="N122" s="11" t="str"/>
      <x:c r="O122" s="11" t="str">
        <x:v>Pending</x:v>
      </x:c>
      <x:c r="P122" s="13" t="str">
        <x:f>IF(H122&lt;&gt;"Passed","Pending",IF(AND(LEN(I122)&gt;0,LEN(J122)&gt;0,LEN(K122)&gt;0,ISNUMBER(L122)),"Ready","Missing evidence"))</x:f>
        <x:v>Pending</x:v>
      </x:c>
      <x:c r="Q122" s="13" t="str">
        <x:f>IF(ISNUMBER(M122),IF(AND(M122&lt;Dashboard!$B$4,P122&lt;&gt;"Ready"),"Overdue","On track"),"No due date")</x:f>
        <x:v>No due date</x:v>
      </x:c>
    </x:row>
    <x:row r="123" ht="54" customHeight="1">
      <x:c r="A123" s="10" t="str">
        <x:v>REG</x:v>
      </x:c>
      <x:c r="B123" s="10" t="str">
        <x:v>REG-UAT-08-A</x:v>
      </x:c>
      <x:c r="C123" s="10" t="str">
        <x:v>REG-REQ-08</x:v>
      </x:c>
      <x:c r="D123" s="10" t="str">
        <x:v>Acceptance</x:v>
      </x:c>
      <x:c r="E123" s="10" t="str">
        <x:v>Use a disposable fixture for changed data; supplied source stays immutable. Application tests require a configured environment.</x:v>
      </x:c>
      <x:c r="F123" s="10" t="str">
        <x:v>Review requirement REG-REQ-08; load the unchanged supplied source; inspect the proposed control and execute it in a future configured application.</x:v>
      </x:c>
      <x:c r="G123" s="10" t="str">
        <x:v>Future role tests limit managers to assigned zones; current local CSV has no RLS.</x:v>
      </x:c>
      <x:c r="H123" s="11" t="str">
        <x:v>Not executed</x:v>
      </x:c>
      <x:c r="I123" s="11" t="str"/>
      <x:c r="J123" s="11" t="str"/>
      <x:c r="K123" s="11" t="str"/>
      <x:c r="L123" s="12" t="str"/>
      <x:c r="M123" s="12" t="str"/>
      <x:c r="N123" s="11" t="str"/>
      <x:c r="O123" s="11" t="str">
        <x:v>Pending</x:v>
      </x:c>
      <x:c r="P123" s="13" t="str">
        <x:f>IF(H123&lt;&gt;"Passed","Pending",IF(AND(LEN(I123)&gt;0,LEN(J123)&gt;0,LEN(K123)&gt;0,ISNUMBER(L123)),"Ready","Missing evidence"))</x:f>
        <x:v>Pending</x:v>
      </x:c>
      <x:c r="Q123" s="13" t="str">
        <x:f>IF(ISNUMBER(M123),IF(AND(M123&lt;Dashboard!$B$4,P123&lt;&gt;"Ready"),"Overdue","On track"),"No due date")</x:f>
        <x:v>No due date</x:v>
      </x:c>
    </x:row>
    <x:row r="124" ht="68" customHeight="1">
      <x:c r="A124" s="10" t="str">
        <x:v>REG</x:v>
      </x:c>
      <x:c r="B124" s="10" t="str">
        <x:v>REG-UAT-08-B</x:v>
      </x:c>
      <x:c r="C124" s="10" t="str">
        <x:v>REG-REQ-08</x:v>
      </x:c>
      <x:c r="D124" s="10" t="str">
        <x:v>Boundary / exception</x:v>
      </x:c>
      <x:c r="E124" s="10" t="str">
        <x:v>Use a disposable fixture for changed data; supplied source stays immutable. Application tests require a configured environment.</x:v>
      </x:c>
      <x:c r="F124" s="10" t="str">
        <x:v>Prepare a disposable case for this rule: A manager outside the assigned zone must be denied in a future role test. Re-run the applicable SQL or execute the control in the future configured application.</x:v>
      </x:c>
      <x:c r="G124" s="10" t="str">
        <x:v>A manager outside the assigned zone must be denied in a future role test.</x:v>
      </x:c>
      <x:c r="H124" s="11" t="str">
        <x:v>Not executed</x:v>
      </x:c>
      <x:c r="I124" s="11" t="str"/>
      <x:c r="J124" s="11" t="str"/>
      <x:c r="K124" s="11" t="str"/>
      <x:c r="L124" s="12" t="str"/>
      <x:c r="M124" s="12" t="str"/>
      <x:c r="N124" s="11" t="str"/>
      <x:c r="O124" s="11" t="str">
        <x:v>Pending</x:v>
      </x:c>
      <x:c r="P124" s="13" t="str">
        <x:f>IF(H124&lt;&gt;"Passed","Pending",IF(AND(LEN(I124)&gt;0,LEN(J124)&gt;0,LEN(K124)&gt;0,ISNUMBER(L124)),"Ready","Missing evidence"))</x:f>
        <x:v>Pending</x:v>
      </x:c>
      <x:c r="Q124" s="13" t="str">
        <x:f>IF(ISNUMBER(M124),IF(AND(M124&lt;Dashboard!$B$4,P124&lt;&gt;"Ready"),"Overdue","On track"),"No due date")</x:f>
        <x:v>No due date</x:v>
      </x:c>
    </x:row>
    <x:row r="125" ht="54" customHeight="1">
      <x:c r="A125" s="10" t="str">
        <x:v>REG</x:v>
      </x:c>
      <x:c r="B125" s="10" t="str">
        <x:v>REG-UAT-08-C</x:v>
      </x:c>
      <x:c r="C125" s="10" t="str">
        <x:v>REG-REQ-08</x:v>
      </x:c>
      <x:c r="D125" s="10" t="str">
        <x:v>Business review</x:v>
      </x:c>
      <x:c r="E125" s="10" t="str">
        <x:v>Use a disposable fixture for changed data; supplied source stays immutable. Application tests require a configured environment.</x:v>
      </x:c>
      <x:c r="F125" s="10" t="str">
        <x:v>Ask the Sales Operations Manager to review the labels, scope, evidence, and recommendation against REG-REQ-08.</x:v>
      </x:c>
      <x:c r="G125" s="10" t="str">
        <x:v>Owner records Approved / Rejected / Needs clarification with a reason and supporting evidence.</x:v>
      </x:c>
      <x:c r="H125" s="11" t="str">
        <x:v>Not executed</x:v>
      </x:c>
      <x:c r="I125" s="11" t="str"/>
      <x:c r="J125" s="11" t="str"/>
      <x:c r="K125" s="11" t="str"/>
      <x:c r="L125" s="12" t="str"/>
      <x:c r="M125" s="12" t="str"/>
      <x:c r="N125" s="11" t="str"/>
      <x:c r="O125" s="11" t="str">
        <x:v>Pending</x:v>
      </x:c>
      <x:c r="P125" s="13" t="str">
        <x:f>IF(H125&lt;&gt;"Passed","Pending",IF(AND(LEN(I125)&gt;0,LEN(J125)&gt;0,LEN(K125)&gt;0,ISNUMBER(L125)),"Ready","Missing evidence"))</x:f>
        <x:v>Pending</x:v>
      </x:c>
      <x:c r="Q125" s="13" t="str">
        <x:f>IF(ISNUMBER(M125),IF(AND(M125&lt;Dashboard!$B$4,P125&lt;&gt;"Ready"),"Overdue","On track"),"No due date")</x:f>
        <x:v>No due date</x:v>
      </x:c>
    </x:row>
    <x:row r="126" ht="54" customHeight="1">
      <x:c r="A126" s="10" t="str">
        <x:v>CRM</x:v>
      </x:c>
      <x:c r="B126" s="10" t="str">
        <x:v>CRM-UAT-01-A</x:v>
      </x:c>
      <x:c r="C126" s="10" t="str">
        <x:v>CRM-REQ-01</x:v>
      </x:c>
      <x:c r="D126" s="10" t="str">
        <x:v>Acceptance</x:v>
      </x:c>
      <x:c r="E126" s="10" t="str">
        <x:v>Use a disposable fixture for changed data; supplied source stays immutable. Application tests require a configured environment.</x:v>
      </x:c>
      <x:c r="F126" s="10" t="str">
        <x:v>Review requirement CRM-REQ-01; load the unchanged supplied source; inspect Q01 result and independently recompute its control totals.</x:v>
      </x:c>
      <x:c r="G126" s="10" t="str">
        <x:v>Duplicate IDs and probability outside 0-1 are detected; supplied records are profiled.</x:v>
      </x:c>
      <x:c r="H126" s="11" t="str">
        <x:v>Not executed</x:v>
      </x:c>
      <x:c r="I126" s="11" t="str"/>
      <x:c r="J126" s="11" t="str"/>
      <x:c r="K126" s="11" t="str"/>
      <x:c r="L126" s="12" t="str"/>
      <x:c r="M126" s="12" t="str"/>
      <x:c r="N126" s="11" t="str"/>
      <x:c r="O126" s="11" t="str">
        <x:v>Pending</x:v>
      </x:c>
      <x:c r="P126" s="13" t="str">
        <x:f>IF(H126&lt;&gt;"Passed","Pending",IF(AND(LEN(I126)&gt;0,LEN(J126)&gt;0,LEN(K126)&gt;0,ISNUMBER(L126)),"Ready","Missing evidence"))</x:f>
        <x:v>Pending</x:v>
      </x:c>
      <x:c r="Q126" s="13" t="str">
        <x:f>IF(ISNUMBER(M126),IF(AND(M126&lt;Dashboard!$B$4,P126&lt;&gt;"Ready"),"Overdue","On track"),"No due date")</x:f>
        <x:v>No due date</x:v>
      </x:c>
    </x:row>
    <x:row r="127" ht="68" customHeight="1">
      <x:c r="A127" s="10" t="str">
        <x:v>CRM</x:v>
      </x:c>
      <x:c r="B127" s="10" t="str">
        <x:v>CRM-UAT-01-B</x:v>
      </x:c>
      <x:c r="C127" s="10" t="str">
        <x:v>CRM-REQ-01</x:v>
      </x:c>
      <x:c r="D127" s="10" t="str">
        <x:v>Boundary / exception</x:v>
      </x:c>
      <x:c r="E127" s="10" t="str">
        <x:v>Use a disposable fixture for changed data; supplied source stays immutable. Application tests require a configured environment.</x:v>
      </x:c>
      <x:c r="F127" s="10" t="str">
        <x:v>Prepare a disposable case for this rule: Duplicate opportunity IDs, unknown stages, and invalid probabilities require correction. Re-run the applicable SQL or execute the control in the future configured application.</x:v>
      </x:c>
      <x:c r="G127" s="10" t="str">
        <x:v>Duplicate opportunity IDs, unknown stages, and invalid probabilities require correction.</x:v>
      </x:c>
      <x:c r="H127" s="11" t="str">
        <x:v>Not executed</x:v>
      </x:c>
      <x:c r="I127" s="11" t="str"/>
      <x:c r="J127" s="11" t="str"/>
      <x:c r="K127" s="11" t="str"/>
      <x:c r="L127" s="12" t="str"/>
      <x:c r="M127" s="12" t="str"/>
      <x:c r="N127" s="11" t="str"/>
      <x:c r="O127" s="11" t="str">
        <x:v>Pending</x:v>
      </x:c>
      <x:c r="P127" s="13" t="str">
        <x:f>IF(H127&lt;&gt;"Passed","Pending",IF(AND(LEN(I127)&gt;0,LEN(J127)&gt;0,LEN(K127)&gt;0,ISNUMBER(L127)),"Ready","Missing evidence"))</x:f>
        <x:v>Pending</x:v>
      </x:c>
      <x:c r="Q127" s="13" t="str">
        <x:f>IF(ISNUMBER(M127),IF(AND(M127&lt;Dashboard!$B$4,P127&lt;&gt;"Ready"),"Overdue","On track"),"No due date")</x:f>
        <x:v>No due date</x:v>
      </x:c>
    </x:row>
    <x:row r="128" ht="54" customHeight="1">
      <x:c r="A128" s="10" t="str">
        <x:v>CRM</x:v>
      </x:c>
      <x:c r="B128" s="10" t="str">
        <x:v>CRM-UAT-01-C</x:v>
      </x:c>
      <x:c r="C128" s="10" t="str">
        <x:v>CRM-REQ-01</x:v>
      </x:c>
      <x:c r="D128" s="10" t="str">
        <x:v>Business review</x:v>
      </x:c>
      <x:c r="E128" s="10" t="str">
        <x:v>Use a disposable fixture for changed data; supplied source stays immutable. Application tests require a configured environment.</x:v>
      </x:c>
      <x:c r="F128" s="10" t="str">
        <x:v>Ask the Sales Operations Manager to review the labels, scope, evidence, and recommendation against CRM-REQ-01.</x:v>
      </x:c>
      <x:c r="G128" s="10" t="str">
        <x:v>Owner records Approved / Rejected / Needs clarification with a reason and supporting evidence.</x:v>
      </x:c>
      <x:c r="H128" s="11" t="str">
        <x:v>Not executed</x:v>
      </x:c>
      <x:c r="I128" s="11" t="str"/>
      <x:c r="J128" s="11" t="str"/>
      <x:c r="K128" s="11" t="str"/>
      <x:c r="L128" s="12" t="str"/>
      <x:c r="M128" s="12" t="str"/>
      <x:c r="N128" s="11" t="str"/>
      <x:c r="O128" s="11" t="str">
        <x:v>Pending</x:v>
      </x:c>
      <x:c r="P128" s="13" t="str">
        <x:f>IF(H128&lt;&gt;"Passed","Pending",IF(AND(LEN(I128)&gt;0,LEN(J128)&gt;0,LEN(K128)&gt;0,ISNUMBER(L128)),"Ready","Missing evidence"))</x:f>
        <x:v>Pending</x:v>
      </x:c>
      <x:c r="Q128" s="13" t="str">
        <x:f>IF(ISNUMBER(M128),IF(AND(M128&lt;Dashboard!$B$4,P128&lt;&gt;"Ready"),"Overdue","On track"),"No due date")</x:f>
        <x:v>No due date</x:v>
      </x:c>
    </x:row>
    <x:row r="129" ht="54" customHeight="1">
      <x:c r="A129" s="10" t="str">
        <x:v>CRM</x:v>
      </x:c>
      <x:c r="B129" s="10" t="str">
        <x:v>CRM-UAT-02-A</x:v>
      </x:c>
      <x:c r="C129" s="10" t="str">
        <x:v>CRM-REQ-02</x:v>
      </x:c>
      <x:c r="D129" s="10" t="str">
        <x:v>Acceptance</x:v>
      </x:c>
      <x:c r="E129" s="10" t="str">
        <x:v>Use a disposable fixture for changed data; supplied source stays immutable. Application tests require a configured environment.</x:v>
      </x:c>
      <x:c r="F129" s="10" t="str">
        <x:v>Review requirement CRM-REQ-02; load the unchanged supplied source; inspect Q02 result and independently recompute its control totals.</x:v>
      </x:c>
      <x:c r="G129" s="10" t="str">
        <x:v>Open + won + lost equals all-record amount within $0.01.</x:v>
      </x:c>
      <x:c r="H129" s="11" t="str">
        <x:v>Not executed</x:v>
      </x:c>
      <x:c r="I129" s="11" t="str"/>
      <x:c r="J129" s="11" t="str"/>
      <x:c r="K129" s="11" t="str"/>
      <x:c r="L129" s="12" t="str"/>
      <x:c r="M129" s="12" t="str"/>
      <x:c r="N129" s="11" t="str"/>
      <x:c r="O129" s="11" t="str">
        <x:v>Pending</x:v>
      </x:c>
      <x:c r="P129" s="13" t="str">
        <x:f>IF(H129&lt;&gt;"Passed","Pending",IF(AND(LEN(I129)&gt;0,LEN(J129)&gt;0,LEN(K129)&gt;0,ISNUMBER(L129)),"Ready","Missing evidence"))</x:f>
        <x:v>Pending</x:v>
      </x:c>
      <x:c r="Q129" s="13" t="str">
        <x:f>IF(ISNUMBER(M129),IF(AND(M129&lt;Dashboard!$B$4,P129&lt;&gt;"Ready"),"Overdue","On track"),"No due date")</x:f>
        <x:v>No due date</x:v>
      </x:c>
    </x:row>
    <x:row r="130" ht="68" customHeight="1">
      <x:c r="A130" s="10" t="str">
        <x:v>CRM</x:v>
      </x:c>
      <x:c r="B130" s="10" t="str">
        <x:v>CRM-UAT-02-B</x:v>
      </x:c>
      <x:c r="C130" s="10" t="str">
        <x:v>CRM-REQ-02</x:v>
      </x:c>
      <x:c r="D130" s="10" t="str">
        <x:v>Boundary / exception</x:v>
      </x:c>
      <x:c r="E130" s="10" t="str">
        <x:v>Use a disposable fixture for changed data; supplied source stays immutable. Application tests require a configured environment.</x:v>
      </x:c>
      <x:c r="F130" s="10" t="str">
        <x:v>Prepare a disposable case for this rule: Closed won and closed lost are excluded from open totals even if amounts are positive. Re-run the applicable SQL or execute the control in the future configured application.</x:v>
      </x:c>
      <x:c r="G130" s="10" t="str">
        <x:v>Closed won and closed lost are excluded from open totals even if amounts are positive.</x:v>
      </x:c>
      <x:c r="H130" s="11" t="str">
        <x:v>Not executed</x:v>
      </x:c>
      <x:c r="I130" s="11" t="str"/>
      <x:c r="J130" s="11" t="str"/>
      <x:c r="K130" s="11" t="str"/>
      <x:c r="L130" s="12" t="str"/>
      <x:c r="M130" s="12" t="str"/>
      <x:c r="N130" s="11" t="str"/>
      <x:c r="O130" s="11" t="str">
        <x:v>Pending</x:v>
      </x:c>
      <x:c r="P130" s="13" t="str">
        <x:f>IF(H130&lt;&gt;"Passed","Pending",IF(AND(LEN(I130)&gt;0,LEN(J130)&gt;0,LEN(K130)&gt;0,ISNUMBER(L130)),"Ready","Missing evidence"))</x:f>
        <x:v>Pending</x:v>
      </x:c>
      <x:c r="Q130" s="13" t="str">
        <x:f>IF(ISNUMBER(M130),IF(AND(M130&lt;Dashboard!$B$4,P130&lt;&gt;"Ready"),"Overdue","On track"),"No due date")</x:f>
        <x:v>No due date</x:v>
      </x:c>
    </x:row>
    <x:row r="131" ht="54" customHeight="1">
      <x:c r="A131" s="10" t="str">
        <x:v>CRM</x:v>
      </x:c>
      <x:c r="B131" s="10" t="str">
        <x:v>CRM-UAT-02-C</x:v>
      </x:c>
      <x:c r="C131" s="10" t="str">
        <x:v>CRM-REQ-02</x:v>
      </x:c>
      <x:c r="D131" s="10" t="str">
        <x:v>Business review</x:v>
      </x:c>
      <x:c r="E131" s="10" t="str">
        <x:v>Use a disposable fixture for changed data; supplied source stays immutable. Application tests require a configured environment.</x:v>
      </x:c>
      <x:c r="F131" s="10" t="str">
        <x:v>Ask the Sales Operations Manager to review the labels, scope, evidence, and recommendation against CRM-REQ-02.</x:v>
      </x:c>
      <x:c r="G131" s="10" t="str">
        <x:v>Owner records Approved / Rejected / Needs clarification with a reason and supporting evidence.</x:v>
      </x:c>
      <x:c r="H131" s="11" t="str">
        <x:v>Not executed</x:v>
      </x:c>
      <x:c r="I131" s="11" t="str"/>
      <x:c r="J131" s="11" t="str"/>
      <x:c r="K131" s="11" t="str"/>
      <x:c r="L131" s="12" t="str"/>
      <x:c r="M131" s="12" t="str"/>
      <x:c r="N131" s="11" t="str"/>
      <x:c r="O131" s="11" t="str">
        <x:v>Pending</x:v>
      </x:c>
      <x:c r="P131" s="13" t="str">
        <x:f>IF(H131&lt;&gt;"Passed","Pending",IF(AND(LEN(I131)&gt;0,LEN(J131)&gt;0,LEN(K131)&gt;0,ISNUMBER(L131)),"Ready","Missing evidence"))</x:f>
        <x:v>Pending</x:v>
      </x:c>
      <x:c r="Q131" s="13" t="str">
        <x:f>IF(ISNUMBER(M131),IF(AND(M131&lt;Dashboard!$B$4,P131&lt;&gt;"Ready"),"Overdue","On track"),"No due date")</x:f>
        <x:v>No due date</x:v>
      </x:c>
    </x:row>
    <x:row r="132" ht="54" customHeight="1">
      <x:c r="A132" s="10" t="str">
        <x:v>CRM</x:v>
      </x:c>
      <x:c r="B132" s="10" t="str">
        <x:v>CRM-UAT-03-A</x:v>
      </x:c>
      <x:c r="C132" s="10" t="str">
        <x:v>CRM-REQ-03</x:v>
      </x:c>
      <x:c r="D132" s="10" t="str">
        <x:v>Acceptance</x:v>
      </x:c>
      <x:c r="E132" s="10" t="str">
        <x:v>Use a disposable fixture for changed data; supplied source stays immutable. Application tests require a configured environment.</x:v>
      </x:c>
      <x:c r="F132" s="10" t="str">
        <x:v>Review requirement CRM-REQ-03; load the unchanged supplied source; inspect Q02 result and independently recompute its control totals.</x:v>
      </x:c>
      <x:c r="G132" s="10" t="str">
        <x:v>Fixed unequal-amount fixture matches sum of products; closed values are excluded.</x:v>
      </x:c>
      <x:c r="H132" s="11" t="str">
        <x:v>Not executed</x:v>
      </x:c>
      <x:c r="I132" s="11" t="str"/>
      <x:c r="J132" s="11" t="str"/>
      <x:c r="K132" s="11" t="str"/>
      <x:c r="L132" s="12" t="str"/>
      <x:c r="M132" s="12" t="str"/>
      <x:c r="N132" s="11" t="str"/>
      <x:c r="O132" s="11" t="str">
        <x:v>Pending</x:v>
      </x:c>
      <x:c r="P132" s="13" t="str">
        <x:f>IF(H132&lt;&gt;"Passed","Pending",IF(AND(LEN(I132)&gt;0,LEN(J132)&gt;0,LEN(K132)&gt;0,ISNUMBER(L132)),"Ready","Missing evidence"))</x:f>
        <x:v>Pending</x:v>
      </x:c>
      <x:c r="Q132" s="13" t="str">
        <x:f>IF(ISNUMBER(M132),IF(AND(M132&lt;Dashboard!$B$4,P132&lt;&gt;"Ready"),"Overdue","On track"),"No due date")</x:f>
        <x:v>No due date</x:v>
      </x:c>
    </x:row>
    <x:row r="133" ht="68" customHeight="1">
      <x:c r="A133" s="10" t="str">
        <x:v>CRM</x:v>
      </x:c>
      <x:c r="B133" s="10" t="str">
        <x:v>CRM-UAT-03-B</x:v>
      </x:c>
      <x:c r="C133" s="10" t="str">
        <x:v>CRM-REQ-03</x:v>
      </x:c>
      <x:c r="D133" s="10" t="str">
        <x:v>Boundary / exception</x:v>
      </x:c>
      <x:c r="E133" s="10" t="str">
        <x:v>Use a disposable fixture for changed data; supplied source stays immutable. Application tests require a configured environment.</x:v>
      </x:c>
      <x:c r="F133" s="10" t="str">
        <x:v>Prepare a disposable case for this rule: Use sum(amount * probability), not total amount multiplied by average probability. Re-run the applicable SQL or execute the control in the future configured application.</x:v>
      </x:c>
      <x:c r="G133" s="10" t="str">
        <x:v>Use sum(amount * probability), not total amount multiplied by average probability.</x:v>
      </x:c>
      <x:c r="H133" s="11" t="str">
        <x:v>Not executed</x:v>
      </x:c>
      <x:c r="I133" s="11" t="str"/>
      <x:c r="J133" s="11" t="str"/>
      <x:c r="K133" s="11" t="str"/>
      <x:c r="L133" s="12" t="str"/>
      <x:c r="M133" s="12" t="str"/>
      <x:c r="N133" s="11" t="str"/>
      <x:c r="O133" s="11" t="str">
        <x:v>Pending</x:v>
      </x:c>
      <x:c r="P133" s="13" t="str">
        <x:f>IF(H133&lt;&gt;"Passed","Pending",IF(AND(LEN(I133)&gt;0,LEN(J133)&gt;0,LEN(K133)&gt;0,ISNUMBER(L133)),"Ready","Missing evidence"))</x:f>
        <x:v>Pending</x:v>
      </x:c>
      <x:c r="Q133" s="13" t="str">
        <x:f>IF(ISNUMBER(M133),IF(AND(M133&lt;Dashboard!$B$4,P133&lt;&gt;"Ready"),"Overdue","On track"),"No due date")</x:f>
        <x:v>No due date</x:v>
      </x:c>
    </x:row>
    <x:row r="134" ht="54" customHeight="1">
      <x:c r="A134" s="10" t="str">
        <x:v>CRM</x:v>
      </x:c>
      <x:c r="B134" s="10" t="str">
        <x:v>CRM-UAT-03-C</x:v>
      </x:c>
      <x:c r="C134" s="10" t="str">
        <x:v>CRM-REQ-03</x:v>
      </x:c>
      <x:c r="D134" s="10" t="str">
        <x:v>Business review</x:v>
      </x:c>
      <x:c r="E134" s="10" t="str">
        <x:v>Use a disposable fixture for changed data; supplied source stays immutable. Application tests require a configured environment.</x:v>
      </x:c>
      <x:c r="F134" s="10" t="str">
        <x:v>Ask the Sales Operations Manager to review the labels, scope, evidence, and recommendation against CRM-REQ-03.</x:v>
      </x:c>
      <x:c r="G134" s="10" t="str">
        <x:v>Owner records Approved / Rejected / Needs clarification with a reason and supporting evidence.</x:v>
      </x:c>
      <x:c r="H134" s="11" t="str">
        <x:v>Not executed</x:v>
      </x:c>
      <x:c r="I134" s="11" t="str"/>
      <x:c r="J134" s="11" t="str"/>
      <x:c r="K134" s="11" t="str"/>
      <x:c r="L134" s="12" t="str"/>
      <x:c r="M134" s="12" t="str"/>
      <x:c r="N134" s="11" t="str"/>
      <x:c r="O134" s="11" t="str">
        <x:v>Pending</x:v>
      </x:c>
      <x:c r="P134" s="13" t="str">
        <x:f>IF(H134&lt;&gt;"Passed","Pending",IF(AND(LEN(I134)&gt;0,LEN(J134)&gt;0,LEN(K134)&gt;0,ISNUMBER(L134)),"Ready","Missing evidence"))</x:f>
        <x:v>Pending</x:v>
      </x:c>
      <x:c r="Q134" s="13" t="str">
        <x:f>IF(ISNUMBER(M134),IF(AND(M134&lt;Dashboard!$B$4,P134&lt;&gt;"Ready"),"Overdue","On track"),"No due date")</x:f>
        <x:v>No due date</x:v>
      </x:c>
    </x:row>
    <x:row r="135" ht="54" customHeight="1">
      <x:c r="A135" s="10" t="str">
        <x:v>CRM</x:v>
      </x:c>
      <x:c r="B135" s="10" t="str">
        <x:v>CRM-UAT-04-A</x:v>
      </x:c>
      <x:c r="C135" s="10" t="str">
        <x:v>CRM-REQ-04</x:v>
      </x:c>
      <x:c r="D135" s="10" t="str">
        <x:v>Acceptance</x:v>
      </x:c>
      <x:c r="E135" s="10" t="str">
        <x:v>Use a disposable fixture for changed data; supplied source stays immutable. Application tests require a configured environment.</x:v>
      </x:c>
      <x:c r="F135" s="10" t="str">
        <x:v>Review requirement CRM-REQ-04; load the unchanged supplied source; inspect Q03 result and independently recompute its control totals.</x:v>
      </x:c>
      <x:c r="G135" s="10" t="str">
        <x:v>Stage amounts reconcile; counts total the source record count.</x:v>
      </x:c>
      <x:c r="H135" s="11" t="str">
        <x:v>Not executed</x:v>
      </x:c>
      <x:c r="I135" s="11" t="str"/>
      <x:c r="J135" s="11" t="str"/>
      <x:c r="K135" s="11" t="str"/>
      <x:c r="L135" s="12" t="str"/>
      <x:c r="M135" s="12" t="str"/>
      <x:c r="N135" s="11" t="str"/>
      <x:c r="O135" s="11" t="str">
        <x:v>Pending</x:v>
      </x:c>
      <x:c r="P135" s="13" t="str">
        <x:f>IF(H135&lt;&gt;"Passed","Pending",IF(AND(LEN(I135)&gt;0,LEN(J135)&gt;0,LEN(K135)&gt;0,ISNUMBER(L135)),"Ready","Missing evidence"))</x:f>
        <x:v>Pending</x:v>
      </x:c>
      <x:c r="Q135" s="13" t="str">
        <x:f>IF(ISNUMBER(M135),IF(AND(M135&lt;Dashboard!$B$4,P135&lt;&gt;"Ready"),"Overdue","On track"),"No due date")</x:f>
        <x:v>No due date</x:v>
      </x:c>
    </x:row>
    <x:row r="136" ht="68" customHeight="1">
      <x:c r="A136" s="10" t="str">
        <x:v>CRM</x:v>
      </x:c>
      <x:c r="B136" s="10" t="str">
        <x:v>CRM-UAT-04-B</x:v>
      </x:c>
      <x:c r="C136" s="10" t="str">
        <x:v>CRM-REQ-04</x:v>
      </x:c>
      <x:c r="D136" s="10" t="str">
        <x:v>Boundary / exception</x:v>
      </x:c>
      <x:c r="E136" s="10" t="str">
        <x:v>Use a disposable fixture for changed data; supplied source stays immutable. Application tests require a configured environment.</x:v>
      </x:c>
      <x:c r="F136" s="10" t="str">
        <x:v>Prepare a disposable case for this rule: Counts and amounts have separate labels; small stage samples do not imply stable rates. Re-run the applicable SQL or execute the control in the future configured application.</x:v>
      </x:c>
      <x:c r="G136" s="10" t="str">
        <x:v>Counts and amounts have separate labels; small stage samples do not imply stable rates.</x:v>
      </x:c>
      <x:c r="H136" s="11" t="str">
        <x:v>Not executed</x:v>
      </x:c>
      <x:c r="I136" s="11" t="str"/>
      <x:c r="J136" s="11" t="str"/>
      <x:c r="K136" s="11" t="str"/>
      <x:c r="L136" s="12" t="str"/>
      <x:c r="M136" s="12" t="str"/>
      <x:c r="N136" s="11" t="str"/>
      <x:c r="O136" s="11" t="str">
        <x:v>Pending</x:v>
      </x:c>
      <x:c r="P136" s="13" t="str">
        <x:f>IF(H136&lt;&gt;"Passed","Pending",IF(AND(LEN(I136)&gt;0,LEN(J136)&gt;0,LEN(K136)&gt;0,ISNUMBER(L136)),"Ready","Missing evidence"))</x:f>
        <x:v>Pending</x:v>
      </x:c>
      <x:c r="Q136" s="13" t="str">
        <x:f>IF(ISNUMBER(M136),IF(AND(M136&lt;Dashboard!$B$4,P136&lt;&gt;"Ready"),"Overdue","On track"),"No due date")</x:f>
        <x:v>No due date</x:v>
      </x:c>
    </x:row>
    <x:row r="137" ht="54" customHeight="1">
      <x:c r="A137" s="10" t="str">
        <x:v>CRM</x:v>
      </x:c>
      <x:c r="B137" s="10" t="str">
        <x:v>CRM-UAT-04-C</x:v>
      </x:c>
      <x:c r="C137" s="10" t="str">
        <x:v>CRM-REQ-04</x:v>
      </x:c>
      <x:c r="D137" s="10" t="str">
        <x:v>Business review</x:v>
      </x:c>
      <x:c r="E137" s="10" t="str">
        <x:v>Use a disposable fixture for changed data; supplied source stays immutable. Application tests require a configured environment.</x:v>
      </x:c>
      <x:c r="F137" s="10" t="str">
        <x:v>Ask the Sales Operations Manager to review the labels, scope, evidence, and recommendation against CRM-REQ-04.</x:v>
      </x:c>
      <x:c r="G137" s="10" t="str">
        <x:v>Owner records Approved / Rejected / Needs clarification with a reason and supporting evidence.</x:v>
      </x:c>
      <x:c r="H137" s="11" t="str">
        <x:v>Not executed</x:v>
      </x:c>
      <x:c r="I137" s="11" t="str"/>
      <x:c r="J137" s="11" t="str"/>
      <x:c r="K137" s="11" t="str"/>
      <x:c r="L137" s="12" t="str"/>
      <x:c r="M137" s="12" t="str"/>
      <x:c r="N137" s="11" t="str"/>
      <x:c r="O137" s="11" t="str">
        <x:v>Pending</x:v>
      </x:c>
      <x:c r="P137" s="13" t="str">
        <x:f>IF(H137&lt;&gt;"Passed","Pending",IF(AND(LEN(I137)&gt;0,LEN(J137)&gt;0,LEN(K137)&gt;0,ISNUMBER(L137)),"Ready","Missing evidence"))</x:f>
        <x:v>Pending</x:v>
      </x:c>
      <x:c r="Q137" s="13" t="str">
        <x:f>IF(ISNUMBER(M137),IF(AND(M137&lt;Dashboard!$B$4,P137&lt;&gt;"Ready"),"Overdue","On track"),"No due date")</x:f>
        <x:v>No due date</x:v>
      </x:c>
    </x:row>
    <x:row r="138" ht="54" customHeight="1">
      <x:c r="A138" s="10" t="str">
        <x:v>CRM</x:v>
      </x:c>
      <x:c r="B138" s="10" t="str">
        <x:v>CRM-UAT-05-A</x:v>
      </x:c>
      <x:c r="C138" s="10" t="str">
        <x:v>CRM-REQ-05</x:v>
      </x:c>
      <x:c r="D138" s="10" t="str">
        <x:v>Acceptance</x:v>
      </x:c>
      <x:c r="E138" s="10" t="str">
        <x:v>Use a disposable fixture for changed data; supplied source stays immutable. Application tests require a configured environment.</x:v>
      </x:c>
      <x:c r="F138" s="10" t="str">
        <x:v>Review requirement CRM-REQ-05; load the unchanged supplied source; inspect Q04 result and independently recompute its control totals.</x:v>
      </x:c>
      <x:c r="G138" s="10" t="str">
        <x:v>Only open stages appear and each value is traceable to one source record.</x:v>
      </x:c>
      <x:c r="H138" s="11" t="str">
        <x:v>Not executed</x:v>
      </x:c>
      <x:c r="I138" s="11" t="str"/>
      <x:c r="J138" s="11" t="str"/>
      <x:c r="K138" s="11" t="str"/>
      <x:c r="L138" s="12" t="str"/>
      <x:c r="M138" s="12" t="str"/>
      <x:c r="N138" s="11" t="str"/>
      <x:c r="O138" s="11" t="str">
        <x:v>Pending</x:v>
      </x:c>
      <x:c r="P138" s="13" t="str">
        <x:f>IF(H138&lt;&gt;"Passed","Pending",IF(AND(LEN(I138)&gt;0,LEN(J138)&gt;0,LEN(K138)&gt;0,ISNUMBER(L138)),"Ready","Missing evidence"))</x:f>
        <x:v>Pending</x:v>
      </x:c>
      <x:c r="Q138" s="13" t="str">
        <x:f>IF(ISNUMBER(M138),IF(AND(M138&lt;Dashboard!$B$4,P138&lt;&gt;"Ready"),"Overdue","On track"),"No due date")</x:f>
        <x:v>No due date</x:v>
      </x:c>
    </x:row>
    <x:row r="139" ht="68" customHeight="1">
      <x:c r="A139" s="10" t="str">
        <x:v>CRM</x:v>
      </x:c>
      <x:c r="B139" s="10" t="str">
        <x:v>CRM-UAT-05-B</x:v>
      </x:c>
      <x:c r="C139" s="10" t="str">
        <x:v>CRM-REQ-05</x:v>
      </x:c>
      <x:c r="D139" s="10" t="str">
        <x:v>Boundary / exception</x:v>
      </x:c>
      <x:c r="E139" s="10" t="str">
        <x:v>Use a disposable fixture for changed data; supplied source stays immutable. Application tests require a configured environment.</x:v>
      </x:c>
      <x:c r="F139" s="10" t="str">
        <x:v>Prepare a disposable case for this rule: Tied weighted amounts sort by opportunity_id; closed opportunities never enter open review queue. Re-run the applicable SQL or execute the control in the future configured application.</x:v>
      </x:c>
      <x:c r="G139" s="10" t="str">
        <x:v>Tied weighted amounts sort by opportunity_id; closed opportunities never enter open review queue.</x:v>
      </x:c>
      <x:c r="H139" s="11" t="str">
        <x:v>Not executed</x:v>
      </x:c>
      <x:c r="I139" s="11" t="str"/>
      <x:c r="J139" s="11" t="str"/>
      <x:c r="K139" s="11" t="str"/>
      <x:c r="L139" s="12" t="str"/>
      <x:c r="M139" s="12" t="str"/>
      <x:c r="N139" s="11" t="str"/>
      <x:c r="O139" s="11" t="str">
        <x:v>Pending</x:v>
      </x:c>
      <x:c r="P139" s="13" t="str">
        <x:f>IF(H139&lt;&gt;"Passed","Pending",IF(AND(LEN(I139)&gt;0,LEN(J139)&gt;0,LEN(K139)&gt;0,ISNUMBER(L139)),"Ready","Missing evidence"))</x:f>
        <x:v>Pending</x:v>
      </x:c>
      <x:c r="Q139" s="13" t="str">
        <x:f>IF(ISNUMBER(M139),IF(AND(M139&lt;Dashboard!$B$4,P139&lt;&gt;"Ready"),"Overdue","On track"),"No due date")</x:f>
        <x:v>No due date</x:v>
      </x:c>
    </x:row>
    <x:row r="140" ht="54" customHeight="1">
      <x:c r="A140" s="10" t="str">
        <x:v>CRM</x:v>
      </x:c>
      <x:c r="B140" s="10" t="str">
        <x:v>CRM-UAT-05-C</x:v>
      </x:c>
      <x:c r="C140" s="10" t="str">
        <x:v>CRM-REQ-05</x:v>
      </x:c>
      <x:c r="D140" s="10" t="str">
        <x:v>Business review</x:v>
      </x:c>
      <x:c r="E140" s="10" t="str">
        <x:v>Use a disposable fixture for changed data; supplied source stays immutable. Application tests require a configured environment.</x:v>
      </x:c>
      <x:c r="F140" s="10" t="str">
        <x:v>Ask the Sales Operations Manager to review the labels, scope, evidence, and recommendation against CRM-REQ-05.</x:v>
      </x:c>
      <x:c r="G140" s="10" t="str">
        <x:v>Owner records Approved / Rejected / Needs clarification with a reason and supporting evidence.</x:v>
      </x:c>
      <x:c r="H140" s="11" t="str">
        <x:v>Not executed</x:v>
      </x:c>
      <x:c r="I140" s="11" t="str"/>
      <x:c r="J140" s="11" t="str"/>
      <x:c r="K140" s="11" t="str"/>
      <x:c r="L140" s="12" t="str"/>
      <x:c r="M140" s="12" t="str"/>
      <x:c r="N140" s="11" t="str"/>
      <x:c r="O140" s="11" t="str">
        <x:v>Pending</x:v>
      </x:c>
      <x:c r="P140" s="13" t="str">
        <x:f>IF(H140&lt;&gt;"Passed","Pending",IF(AND(LEN(I140)&gt;0,LEN(J140)&gt;0,LEN(K140)&gt;0,ISNUMBER(L140)),"Ready","Missing evidence"))</x:f>
        <x:v>Pending</x:v>
      </x:c>
      <x:c r="Q140" s="13" t="str">
        <x:f>IF(ISNUMBER(M140),IF(AND(M140&lt;Dashboard!$B$4,P140&lt;&gt;"Ready"),"Overdue","On track"),"No due date")</x:f>
        <x:v>No due date</x:v>
      </x:c>
    </x:row>
    <x:row r="141" ht="54" customHeight="1">
      <x:c r="A141" s="10" t="str">
        <x:v>CRM</x:v>
      </x:c>
      <x:c r="B141" s="10" t="str">
        <x:v>CRM-UAT-06-A</x:v>
      </x:c>
      <x:c r="C141" s="10" t="str">
        <x:v>CRM-REQ-06</x:v>
      </x:c>
      <x:c r="D141" s="10" t="str">
        <x:v>Acceptance</x:v>
      </x:c>
      <x:c r="E141" s="10" t="str">
        <x:v>Use a disposable fixture for changed data; supplied source stays immutable. Application tests require a configured environment.</x:v>
      </x:c>
      <x:c r="F141" s="10" t="str">
        <x:v>Review requirement CRM-REQ-06; load the unchanged supplied source; inspect Q01 result and independently recompute its control totals.</x:v>
      </x:c>
      <x:c r="G141" s="10" t="str">
        <x:v>No sales velocity, historical win rate, or time-bounded forecast is claimed.</x:v>
      </x:c>
      <x:c r="H141" s="11" t="str">
        <x:v>Not executed</x:v>
      </x:c>
      <x:c r="I141" s="11" t="str"/>
      <x:c r="J141" s="11" t="str"/>
      <x:c r="K141" s="11" t="str"/>
      <x:c r="L141" s="12" t="str"/>
      <x:c r="M141" s="12" t="str"/>
      <x:c r="N141" s="11" t="str"/>
      <x:c r="O141" s="11" t="str">
        <x:v>Pending</x:v>
      </x:c>
      <x:c r="P141" s="13" t="str">
        <x:f>IF(H141&lt;&gt;"Passed","Pending",IF(AND(LEN(I141)&gt;0,LEN(J141)&gt;0,LEN(K141)&gt;0,ISNUMBER(L141)),"Ready","Missing evidence"))</x:f>
        <x:v>Pending</x:v>
      </x:c>
      <x:c r="Q141" s="13" t="str">
        <x:f>IF(ISNUMBER(M141),IF(AND(M141&lt;Dashboard!$B$4,P141&lt;&gt;"Ready"),"Overdue","On track"),"No due date")</x:f>
        <x:v>No due date</x:v>
      </x:c>
    </x:row>
    <x:row r="142" ht="68" customHeight="1">
      <x:c r="A142" s="10" t="str">
        <x:v>CRM</x:v>
      </x:c>
      <x:c r="B142" s="10" t="str">
        <x:v>CRM-UAT-06-B</x:v>
      </x:c>
      <x:c r="C142" s="10" t="str">
        <x:v>CRM-REQ-06</x:v>
      </x:c>
      <x:c r="D142" s="10" t="str">
        <x:v>Boundary / exception</x:v>
      </x:c>
      <x:c r="E142" s="10" t="str">
        <x:v>Use a disposable fixture for changed data; supplied source stays immutable. Application tests require a configured environment.</x:v>
      </x:c>
      <x:c r="F142" s="10" t="str">
        <x:v>Prepare a disposable case for this rule: An undated snapshot cannot support velocity or a time-bounded revenue forecast. Re-run the applicable SQL or execute the control in the future configured application.</x:v>
      </x:c>
      <x:c r="G142" s="10" t="str">
        <x:v>An undated snapshot cannot support velocity or a time-bounded revenue forecast.</x:v>
      </x:c>
      <x:c r="H142" s="11" t="str">
        <x:v>Not executed</x:v>
      </x:c>
      <x:c r="I142" s="11" t="str"/>
      <x:c r="J142" s="11" t="str"/>
      <x:c r="K142" s="11" t="str"/>
      <x:c r="L142" s="12" t="str"/>
      <x:c r="M142" s="12" t="str"/>
      <x:c r="N142" s="11" t="str"/>
      <x:c r="O142" s="11" t="str">
        <x:v>Pending</x:v>
      </x:c>
      <x:c r="P142" s="13" t="str">
        <x:f>IF(H142&lt;&gt;"Passed","Pending",IF(AND(LEN(I142)&gt;0,LEN(J142)&gt;0,LEN(K142)&gt;0,ISNUMBER(L142)),"Ready","Missing evidence"))</x:f>
        <x:v>Pending</x:v>
      </x:c>
      <x:c r="Q142" s="13" t="str">
        <x:f>IF(ISNUMBER(M142),IF(AND(M142&lt;Dashboard!$B$4,P142&lt;&gt;"Ready"),"Overdue","On track"),"No due date")</x:f>
        <x:v>No due date</x:v>
      </x:c>
    </x:row>
    <x:row r="143" ht="54" customHeight="1">
      <x:c r="A143" s="10" t="str">
        <x:v>CRM</x:v>
      </x:c>
      <x:c r="B143" s="10" t="str">
        <x:v>CRM-UAT-06-C</x:v>
      </x:c>
      <x:c r="C143" s="10" t="str">
        <x:v>CRM-REQ-06</x:v>
      </x:c>
      <x:c r="D143" s="10" t="str">
        <x:v>Business review</x:v>
      </x:c>
      <x:c r="E143" s="10" t="str">
        <x:v>Use a disposable fixture for changed data; supplied source stays immutable. Application tests require a configured environment.</x:v>
      </x:c>
      <x:c r="F143" s="10" t="str">
        <x:v>Ask the Sales Operations Manager to review the labels, scope, evidence, and recommendation against CRM-REQ-06.</x:v>
      </x:c>
      <x:c r="G143" s="10" t="str">
        <x:v>Owner records Approved / Rejected / Needs clarification with a reason and supporting evidence.</x:v>
      </x:c>
      <x:c r="H143" s="11" t="str">
        <x:v>Not executed</x:v>
      </x:c>
      <x:c r="I143" s="11" t="str"/>
      <x:c r="J143" s="11" t="str"/>
      <x:c r="K143" s="11" t="str"/>
      <x:c r="L143" s="12" t="str"/>
      <x:c r="M143" s="12" t="str"/>
      <x:c r="N143" s="11" t="str"/>
      <x:c r="O143" s="11" t="str">
        <x:v>Pending</x:v>
      </x:c>
      <x:c r="P143" s="13" t="str">
        <x:f>IF(H143&lt;&gt;"Passed","Pending",IF(AND(LEN(I143)&gt;0,LEN(J143)&gt;0,LEN(K143)&gt;0,ISNUMBER(L143)),"Ready","Missing evidence"))</x:f>
        <x:v>Pending</x:v>
      </x:c>
      <x:c r="Q143" s="13" t="str">
        <x:f>IF(ISNUMBER(M143),IF(AND(M143&lt;Dashboard!$B$4,P143&lt;&gt;"Ready"),"Overdue","On track"),"No due date")</x:f>
        <x:v>No due date</x:v>
      </x:c>
    </x:row>
    <x:row r="144" ht="54" customHeight="1">
      <x:c r="A144" s="10" t="str">
        <x:v>CRM</x:v>
      </x:c>
      <x:c r="B144" s="10" t="str">
        <x:v>CRM-UAT-07-A</x:v>
      </x:c>
      <x:c r="C144" s="10" t="str">
        <x:v>CRM-REQ-07</x:v>
      </x:c>
      <x:c r="D144" s="10" t="str">
        <x:v>Acceptance</x:v>
      </x:c>
      <x:c r="E144" s="10" t="str">
        <x:v>Use a disposable fixture for changed data; supplied source stays immutable. Application tests require a configured environment.</x:v>
      </x:c>
      <x:c r="F144" s="10" t="str">
        <x:v>Review requirement CRM-REQ-07; load the unchanged supplied source; inspect the proposed control and execute it in a future configured application.</x:v>
      </x:c>
      <x:c r="G144" s="10" t="str">
        <x:v>Closed Won with probability below 1 and Closed Lost above 0 are blocked in fixture/design tests.</x:v>
      </x:c>
      <x:c r="H144" s="11" t="str">
        <x:v>Not executed</x:v>
      </x:c>
      <x:c r="I144" s="11" t="str"/>
      <x:c r="J144" s="11" t="str"/>
      <x:c r="K144" s="11" t="str"/>
      <x:c r="L144" s="12" t="str"/>
      <x:c r="M144" s="12" t="str"/>
      <x:c r="N144" s="11" t="str"/>
      <x:c r="O144" s="11" t="str">
        <x:v>Pending</x:v>
      </x:c>
      <x:c r="P144" s="13" t="str">
        <x:f>IF(H144&lt;&gt;"Passed","Pending",IF(AND(LEN(I144)&gt;0,LEN(J144)&gt;0,LEN(K144)&gt;0,ISNUMBER(L144)),"Ready","Missing evidence"))</x:f>
        <x:v>Pending</x:v>
      </x:c>
      <x:c r="Q144" s="13" t="str">
        <x:f>IF(ISNUMBER(M144),IF(AND(M144&lt;Dashboard!$B$4,P144&lt;&gt;"Ready"),"Overdue","On track"),"No due date")</x:f>
        <x:v>No due date</x:v>
      </x:c>
    </x:row>
    <x:row r="145" ht="68" customHeight="1">
      <x:c r="A145" s="10" t="str">
        <x:v>CRM</x:v>
      </x:c>
      <x:c r="B145" s="10" t="str">
        <x:v>CRM-UAT-07-B</x:v>
      </x:c>
      <x:c r="C145" s="10" t="str">
        <x:v>CRM-REQ-07</x:v>
      </x:c>
      <x:c r="D145" s="10" t="str">
        <x:v>Boundary / exception</x:v>
      </x:c>
      <x:c r="E145" s="10" t="str">
        <x:v>Use a disposable fixture for changed data; supplied source stays immutable. Application tests require a configured environment.</x:v>
      </x:c>
      <x:c r="F145" s="10" t="str">
        <x:v>Prepare a disposable case for this rule: Closed Won requires probability 1; Closed Lost requires 0. Mandatory close fields are future implementation requirements. Re-run the applicable SQL or execute the control in the future configured application.</x:v>
      </x:c>
      <x:c r="G145" s="10" t="str">
        <x:v>Closed Won requires probability 1; Closed Lost requires 0. Mandatory close fields are future implementation requirements.</x:v>
      </x:c>
      <x:c r="H145" s="11" t="str">
        <x:v>Not executed</x:v>
      </x:c>
      <x:c r="I145" s="11" t="str"/>
      <x:c r="J145" s="11" t="str"/>
      <x:c r="K145" s="11" t="str"/>
      <x:c r="L145" s="12" t="str"/>
      <x:c r="M145" s="12" t="str"/>
      <x:c r="N145" s="11" t="str"/>
      <x:c r="O145" s="11" t="str">
        <x:v>Pending</x:v>
      </x:c>
      <x:c r="P145" s="13" t="str">
        <x:f>IF(H145&lt;&gt;"Passed","Pending",IF(AND(LEN(I145)&gt;0,LEN(J145)&gt;0,LEN(K145)&gt;0,ISNUMBER(L145)),"Ready","Missing evidence"))</x:f>
        <x:v>Pending</x:v>
      </x:c>
      <x:c r="Q145" s="13" t="str">
        <x:f>IF(ISNUMBER(M145),IF(AND(M145&lt;Dashboard!$B$4,P145&lt;&gt;"Ready"),"Overdue","On track"),"No due date")</x:f>
        <x:v>No due date</x:v>
      </x:c>
    </x:row>
    <x:row r="146" ht="54" customHeight="1">
      <x:c r="A146" s="10" t="str">
        <x:v>CRM</x:v>
      </x:c>
      <x:c r="B146" s="10" t="str">
        <x:v>CRM-UAT-07-C</x:v>
      </x:c>
      <x:c r="C146" s="10" t="str">
        <x:v>CRM-REQ-07</x:v>
      </x:c>
      <x:c r="D146" s="10" t="str">
        <x:v>Business review</x:v>
      </x:c>
      <x:c r="E146" s="10" t="str">
        <x:v>Use a disposable fixture for changed data; supplied source stays immutable. Application tests require a configured environment.</x:v>
      </x:c>
      <x:c r="F146" s="10" t="str">
        <x:v>Ask the Sales Operations Manager to review the labels, scope, evidence, and recommendation against CRM-REQ-07.</x:v>
      </x:c>
      <x:c r="G146" s="10" t="str">
        <x:v>Owner records Approved / Rejected / Needs clarification with a reason and supporting evidence.</x:v>
      </x:c>
      <x:c r="H146" s="11" t="str">
        <x:v>Not executed</x:v>
      </x:c>
      <x:c r="I146" s="11" t="str"/>
      <x:c r="J146" s="11" t="str"/>
      <x:c r="K146" s="11" t="str"/>
      <x:c r="L146" s="12" t="str"/>
      <x:c r="M146" s="12" t="str"/>
      <x:c r="N146" s="11" t="str"/>
      <x:c r="O146" s="11" t="str">
        <x:v>Pending</x:v>
      </x:c>
      <x:c r="P146" s="13" t="str">
        <x:f>IF(H146&lt;&gt;"Passed","Pending",IF(AND(LEN(I146)&gt;0,LEN(J146)&gt;0,LEN(K146)&gt;0,ISNUMBER(L146)),"Ready","Missing evidence"))</x:f>
        <x:v>Pending</x:v>
      </x:c>
      <x:c r="Q146" s="13" t="str">
        <x:f>IF(ISNUMBER(M146),IF(AND(M146&lt;Dashboard!$B$4,P146&lt;&gt;"Ready"),"Overdue","On track"),"No due date")</x:f>
        <x:v>No due date</x:v>
      </x:c>
    </x:row>
    <x:row r="147" ht="54" customHeight="1">
      <x:c r="A147" s="10" t="str">
        <x:v>CRM</x:v>
      </x:c>
      <x:c r="B147" s="10" t="str">
        <x:v>CRM-UAT-08-A</x:v>
      </x:c>
      <x:c r="C147" s="10" t="str">
        <x:v>CRM-REQ-08</x:v>
      </x:c>
      <x:c r="D147" s="10" t="str">
        <x:v>Acceptance</x:v>
      </x:c>
      <x:c r="E147" s="10" t="str">
        <x:v>Use a disposable fixture for changed data; supplied source stays immutable. Application tests require a configured environment.</x:v>
      </x:c>
      <x:c r="F147" s="10" t="str">
        <x:v>Review requirement CRM-REQ-08; load the unchanged supplied source; inspect the proposed control and execute it in a future configured application.</x:v>
      </x:c>
      <x:c r="G147" s="10" t="str">
        <x:v>Future role tests prevent unauthorized forecast edits; local CSV prototype does not enforce CRM roles.</x:v>
      </x:c>
      <x:c r="H147" s="11" t="str">
        <x:v>Not executed</x:v>
      </x:c>
      <x:c r="I147" s="11" t="str"/>
      <x:c r="J147" s="11" t="str"/>
      <x:c r="K147" s="11" t="str"/>
      <x:c r="L147" s="12" t="str"/>
      <x:c r="M147" s="12" t="str"/>
      <x:c r="N147" s="11" t="str"/>
      <x:c r="O147" s="11" t="str">
        <x:v>Pending</x:v>
      </x:c>
      <x:c r="P147" s="13" t="str">
        <x:f>IF(H147&lt;&gt;"Passed","Pending",IF(AND(LEN(I147)&gt;0,LEN(J147)&gt;0,LEN(K147)&gt;0,ISNUMBER(L147)),"Ready","Missing evidence"))</x:f>
        <x:v>Pending</x:v>
      </x:c>
      <x:c r="Q147" s="13" t="str">
        <x:f>IF(ISNUMBER(M147),IF(AND(M147&lt;Dashboard!$B$4,P147&lt;&gt;"Ready"),"Overdue","On track"),"No due date")</x:f>
        <x:v>No due date</x:v>
      </x:c>
    </x:row>
    <x:row r="148" ht="68" customHeight="1">
      <x:c r="A148" s="10" t="str">
        <x:v>CRM</x:v>
      </x:c>
      <x:c r="B148" s="10" t="str">
        <x:v>CRM-UAT-08-B</x:v>
      </x:c>
      <x:c r="C148" s="10" t="str">
        <x:v>CRM-REQ-08</x:v>
      </x:c>
      <x:c r="D148" s="10" t="str">
        <x:v>Boundary / exception</x:v>
      </x:c>
      <x:c r="E148" s="10" t="str">
        <x:v>Use a disposable fixture for changed data; supplied source stays immutable. Application tests require a configured environment.</x:v>
      </x:c>
      <x:c r="F148" s="10" t="str">
        <x:v>Prepare a disposable case for this rule: Only authorized roles may edit probability or stage in a future CRM configuration; audit all changes. Re-run the applicable SQL or execute the control in the future configured application.</x:v>
      </x:c>
      <x:c r="G148" s="10" t="str">
        <x:v>Only authorized roles may edit probability or stage in a future CRM configuration; audit all changes.</x:v>
      </x:c>
      <x:c r="H148" s="11" t="str">
        <x:v>Not executed</x:v>
      </x:c>
      <x:c r="I148" s="11" t="str"/>
      <x:c r="J148" s="11" t="str"/>
      <x:c r="K148" s="11" t="str"/>
      <x:c r="L148" s="12" t="str"/>
      <x:c r="M148" s="12" t="str"/>
      <x:c r="N148" s="11" t="str"/>
      <x:c r="O148" s="11" t="str">
        <x:v>Pending</x:v>
      </x:c>
      <x:c r="P148" s="13" t="str">
        <x:f>IF(H148&lt;&gt;"Passed","Pending",IF(AND(LEN(I148)&gt;0,LEN(J148)&gt;0,LEN(K148)&gt;0,ISNUMBER(L148)),"Ready","Missing evidence"))</x:f>
        <x:v>Pending</x:v>
      </x:c>
      <x:c r="Q148" s="13" t="str">
        <x:f>IF(ISNUMBER(M148),IF(AND(M148&lt;Dashboard!$B$4,P148&lt;&gt;"Ready"),"Overdue","On track"),"No due date")</x:f>
        <x:v>No due date</x:v>
      </x:c>
    </x:row>
    <x:row r="149" ht="54" customHeight="1">
      <x:c r="A149" s="10" t="str">
        <x:v>CRM</x:v>
      </x:c>
      <x:c r="B149" s="10" t="str">
        <x:v>CRM-UAT-08-C</x:v>
      </x:c>
      <x:c r="C149" s="10" t="str">
        <x:v>CRM-REQ-08</x:v>
      </x:c>
      <x:c r="D149" s="10" t="str">
        <x:v>Business review</x:v>
      </x:c>
      <x:c r="E149" s="10" t="str">
        <x:v>Use a disposable fixture for changed data; supplied source stays immutable. Application tests require a configured environment.</x:v>
      </x:c>
      <x:c r="F149" s="10" t="str">
        <x:v>Ask the Sales Operations Manager to review the labels, scope, evidence, and recommendation against CRM-REQ-08.</x:v>
      </x:c>
      <x:c r="G149" s="10" t="str">
        <x:v>Owner records Approved / Rejected / Needs clarification with a reason and supporting evidence.</x:v>
      </x:c>
      <x:c r="H149" s="11" t="str">
        <x:v>Not executed</x:v>
      </x:c>
      <x:c r="I149" s="11" t="str"/>
      <x:c r="J149" s="11" t="str"/>
      <x:c r="K149" s="11" t="str"/>
      <x:c r="L149" s="12" t="str"/>
      <x:c r="M149" s="12" t="str"/>
      <x:c r="N149" s="11" t="str"/>
      <x:c r="O149" s="11" t="str">
        <x:v>Pending</x:v>
      </x:c>
      <x:c r="P149" s="13" t="str">
        <x:f>IF(H149&lt;&gt;"Passed","Pending",IF(AND(LEN(I149)&gt;0,LEN(J149)&gt;0,LEN(K149)&gt;0,ISNUMBER(L149)),"Ready","Missing evidence"))</x:f>
        <x:v>Pending</x:v>
      </x:c>
      <x:c r="Q149" s="13" t="str">
        <x:f>IF(ISNUMBER(M149),IF(AND(M149&lt;Dashboard!$B$4,P149&lt;&gt;"Ready"),"Overdue","On track"),"No due date")</x:f>
        <x:v>No due date</x:v>
      </x:c>
    </x:row>
  </x:sheetData>
  <x:conditionalFormatting sqref="P6:P149">
    <x:cfRule type="containsText" dxfId="0" priority="1" operator="containsText" text="Missing"/>
    <x:cfRule type="containsText" dxfId="1" priority="2" operator="containsText" text="Blocked"/>
    <x:cfRule type="containsText" dxfId="2" priority="3" operator="containsText" text="Overdue"/>
    <x:cfRule type="containsText" dxfId="3" priority="4" operator="containsText" text="Invalid"/>
    <x:cfRule type="containsText" dxfId="4" priority="5" operator="containsText" text="Hold"/>
    <x:cfRule type="containsText" dxfId="5" priority="6" operator="containsText" text="Ready"/>
  </x:conditionalFormatting>
  <x:conditionalFormatting sqref="Q6:Q149">
    <x:cfRule type="containsText" dxfId="6" priority="7" operator="containsText" text="Missing"/>
    <x:cfRule type="containsText" dxfId="7" priority="8" operator="containsText" text="Blocked"/>
    <x:cfRule type="containsText" dxfId="8" priority="9" operator="containsText" text="Overdue"/>
    <x:cfRule type="containsText" dxfId="9" priority="10" operator="containsText" text="Invalid"/>
    <x:cfRule type="containsText" dxfId="10" priority="11" operator="containsText" text="Hold"/>
    <x:cfRule type="containsText" dxfId="11" priority="12" operator="containsText" text="Ready"/>
  </x:conditionalFormatting>
  <x:dataValidations count="2">
    <x:dataValidation type="list" sqref="H6:H149">
      <x:formula1>"Not executed,Passed,Failed,Blocked"</x:formula1>
    </x:dataValidation>
    <x:dataValidation type="list" sqref="O6:O149">
      <x:formula1>"Pending,Accepted,Rejected"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815fb577074f19"/>
  </x:tableParts>
</x:worksheet>
</file>

<file path=xl/worksheets/sheet4.xml><?xml version="1.0" encoding="utf-8"?>
<x:worksheet xmlns:x="http://schemas.openxmlformats.org/spreadsheetml/2006/main">
  <x:sheetPr>
    <x:tabColor rgb="FF1833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30" hidden="0" customWidth="1"/>
    <x:col min="5" max="5" width="55" hidden="0" customWidth="1"/>
    <x:col min="6" max="6" width="45" hidden="0" customWidth="1"/>
    <x:col min="7" max="7" width="55" hidden="0" customWidth="1"/>
    <x:col min="8" max="8" width="50" hidden="0" customWidth="1"/>
    <x:col min="9" max="9" width="28" hidden="0" customWidth="1"/>
    <x:col min="10" max="10" width="32" hidden="0" customWidth="1"/>
    <x:col min="11" max="11" width="22" hidden="0" customWidth="1"/>
    <x:col min="12" max="12" width="60" hidden="0" customWidth="1"/>
    <x:col min="13" max="13" width="55" hidden="0" customWidth="1"/>
    <x:col min="14" max="14" width="60" hidden="0" customWidth="1"/>
    <x:col min="15" max="15" width="20" hidden="0" customWidth="1"/>
    <x:col min="16" max="16" width="18" hidden="0" customWidth="1"/>
    <x:col min="17" max="17" width="40" hidden="0" customWidth="1"/>
    <x:col min="18" max="18" width="25" hidden="0" customWidth="1"/>
    <x:col min="19" max="19" width="18" hidden="0" customWidth="1"/>
    <x:col min="20" max="20" width="25" hidden="0" customWidth="1"/>
    <x:col min="21" max="21" width="2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5" customHeight="1">
      <x:c r="A2" s="3" t="str">
        <x:v>Gap analysis and closure assurance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40" customHeight="1">
      <x:c r="A5" s="8" t="str">
        <x:v>Project</x:v>
      </x:c>
      <x:c r="B5" s="8" t="str">
        <x:v>Gap ID</x:v>
      </x:c>
      <x:c r="C5" s="8" t="str">
        <x:v>Category</x:v>
      </x:c>
      <x:c r="D5" s="8" t="str">
        <x:v>Gap</x:v>
      </x:c>
      <x:c r="E5" s="8" t="str">
        <x:v>Current state</x:v>
      </x:c>
      <x:c r="F5" s="8" t="str">
        <x:v>Current-state evidence</x:v>
      </x:c>
      <x:c r="G5" s="8" t="str">
        <x:v>Target state</x:v>
      </x:c>
      <x:c r="H5" s="8" t="str">
        <x:v>Business impact</x:v>
      </x:c>
      <x:c r="I5" s="8" t="str">
        <x:v>Priority</x:v>
      </x:c>
      <x:c r="J5" s="8" t="str">
        <x:v>Owner</x:v>
      </x:c>
      <x:c r="K5" s="8" t="str">
        <x:v>Requirement ID</x:v>
      </x:c>
      <x:c r="L5" s="8" t="str">
        <x:v>Dependency</x:v>
      </x:c>
      <x:c r="M5" s="8" t="str">
        <x:v>Recommended action</x:v>
      </x:c>
      <x:c r="N5" s="8" t="str">
        <x:v>Closure criteria</x:v>
      </x:c>
      <x:c r="O5" s="8" t="str">
        <x:v>Status</x:v>
      </x:c>
      <x:c r="P5" s="8" t="str">
        <x:v>Due date</x:v>
      </x:c>
      <x:c r="Q5" s="8" t="str">
        <x:v>Closure evidence</x:v>
      </x:c>
      <x:c r="R5" s="8" t="str">
        <x:v>Reviewer</x:v>
      </x:c>
      <x:c r="S5" s="8" t="str">
        <x:v>Closed date</x:v>
      </x:c>
      <x:c r="T5" s="8" t="str">
        <x:v>Closure gate</x:v>
      </x:c>
      <x:c r="U5" s="8" t="str">
        <x:v>Overdue</x:v>
      </x:c>
    </x:row>
    <x:row r="6" ht="54" customHeight="1">
      <x:c r="A6" s="10" t="str">
        <x:v>MKT</x:v>
      </x:c>
      <x:c r="B6" s="10" t="str">
        <x:v>MKT-GAP-01</x:v>
      </x:c>
      <x:c r="C6" s="10" t="str">
        <x:v>Data</x:v>
      </x:c>
      <x:c r="D6" s="10" t="str">
        <x:v>Data keys</x:v>
      </x:c>
      <x:c r="E6" s="10" t="str">
        <x:v>No order_id identifies business transactions.</x:v>
      </x:c>
      <x:c r="F6" s="10" t="str">
        <x:v>amazon_marketplace_aligned.csv; Analysis/data_profile.json; SQL/Q01-Q05; Local_System/server.py</x:v>
      </x:c>
      <x:c r="G6" s="10" t="str">
        <x:v>Obtain order_id and documented event grain; retain source rows until then.</x:v>
      </x:c>
      <x:c r="H6" s="10" t="str">
        <x:v>Cannot reliably distinguish repeated orders from legitimate identical observations.</x:v>
      </x:c>
      <x:c r="I6" s="10" t="str">
        <x:v>P1 - release control</x:v>
      </x:c>
      <x:c r="J6" s="10" t="str">
        <x:v>Marketplace Operations Manager</x:v>
      </x:c>
      <x:c r="K6" s="10" t="str">
        <x:v>MKT-REQ-01</x:v>
      </x:c>
      <x:c r="L6" s="10" t="str">
        <x:v>Request order_id, fee schedule, returns, item costs, seller SLAs, and ledger control totals before extending this case into commercial profitability.</x:v>
      </x:c>
      <x:c r="M6" s="10" t="str">
        <x:v>Obtain order_id and documented event grain; retain source rows until then.</x:v>
      </x:c>
      <x:c r="N6" s="10" t="str">
        <x:v>Source owner confirms key uniqueness and a fixture proves duplicates are quarantined.</x:v>
      </x:c>
      <x:c r="O6" s="11" t="str">
        <x:v>Open</x:v>
      </x:c>
      <x:c r="P6" s="12" t="str"/>
      <x:c r="Q6" s="11" t="str"/>
      <x:c r="R6" s="11" t="str"/>
      <x:c r="S6" s="12" t="str"/>
      <x:c r="T6" s="13" t="str">
        <x:f>IF(O6&lt;&gt;"Closed","Open",IF(AND(LEN(Q6)&gt;0,LEN(R6)&gt;0,ISNUMBER(S6)),"Ready","Missing closure evidence"))</x:f>
        <x:v>Open</x:v>
      </x:c>
      <x:c r="U6" s="13" t="str">
        <x:f>IF(ISNUMBER(P6),IF(AND(P6&lt;Dashboard!$B$4,T6&lt;&gt;"Ready"),"Overdue","On track"),"No due date")</x:f>
        <x:v>No due date</x:v>
      </x:c>
    </x:row>
    <x:row r="7" ht="54" customHeight="1">
      <x:c r="A7" s="10" t="str">
        <x:v>MKT</x:v>
      </x:c>
      <x:c r="B7" s="10" t="str">
        <x:v>MKT-GAP-02</x:v>
      </x:c>
      <x:c r="C7" s="10" t="str">
        <x:v>Data / metrics</x:v>
      </x:c>
      <x:c r="D7" s="10" t="str">
        <x:v>Profitability inputs</x:v>
      </x:c>
      <x:c r="E7" s="10" t="str">
        <x:v>GMV and platform revenue exist; costs and returns do not.</x:v>
      </x:c>
      <x:c r="F7" s="10" t="str">
        <x:v>amazon_marketplace_aligned.csv; Analysis/data_profile.json; SQL/Q01-Q05; Local_System/server.py</x:v>
      </x:c>
      <x:c r="G7" s="10" t="str">
        <x:v>Add reconciled cost/returns/fee sources before introducing margin KPIs.</x:v>
      </x:c>
      <x:c r="H7" s="10" t="str">
        <x:v>Revenue contribution cannot justify a profitability claim.</x:v>
      </x:c>
      <x:c r="I7" s="10" t="str">
        <x:v>P2 - capability improvement</x:v>
      </x:c>
      <x:c r="J7" s="10" t="str">
        <x:v>Marketplace Operations Manager</x:v>
      </x:c>
      <x:c r="K7" s="10" t="str">
        <x:v>MKT-REQ-02</x:v>
      </x:c>
      <x:c r="L7" s="10" t="str">
        <x:v>Request order_id, fee schedule, returns, item costs, seller SLAs, and ledger control totals before extending this case into commercial profitability.</x:v>
      </x:c>
      <x:c r="M7" s="10" t="str">
        <x:v>Add reconciled cost/returns/fee sources before introducing margin KPIs.</x:v>
      </x:c>
      <x:c r="N7" s="10" t="str">
        <x:v>Finance approves reconciled cost definitions; totals reconcile to source controls.</x:v>
      </x:c>
      <x:c r="O7" s="11" t="str">
        <x:v>Open</x:v>
      </x:c>
      <x:c r="P7" s="12" t="str"/>
      <x:c r="Q7" s="11" t="str"/>
      <x:c r="R7" s="11" t="str"/>
      <x:c r="S7" s="12" t="str"/>
      <x:c r="T7" s="13" t="str">
        <x:f>IF(O7&lt;&gt;"Closed","Open",IF(AND(LEN(Q7)&gt;0,LEN(R7)&gt;0,ISNUMBER(S7)),"Ready","Missing closure evidence"))</x:f>
        <x:v>Open</x:v>
      </x:c>
      <x:c r="U7" s="13" t="str">
        <x:f>IF(ISNUMBER(P7),IF(AND(P7&lt;Dashboard!$B$4,T7&lt;&gt;"Ready"),"Overdue","On track"),"No due date")</x:f>
        <x:v>No due date</x:v>
      </x:c>
    </x:row>
    <x:row r="8" ht="54" customHeight="1">
      <x:c r="A8" s="10" t="str">
        <x:v>MKT</x:v>
      </x:c>
      <x:c r="B8" s="10" t="str">
        <x:v>MKT-GAP-03</x:v>
      </x:c>
      <x:c r="C8" s="10" t="str">
        <x:v>Business process</x:v>
      </x:c>
      <x:c r="D8" s="10" t="str">
        <x:v>Seller interventions</x:v>
      </x:c>
      <x:c r="E8" s="10" t="str">
        <x:v>Seller concentration is observable but service context is absent.</x:v>
      </x:c>
      <x:c r="F8" s="10" t="str">
        <x:v>amazon_marketplace_aligned.csv; Analysis/data_profile.json; SQL/Q01-Q05; Local_System/server.py</x:v>
      </x:c>
      <x:c r="G8" s="10" t="str">
        <x:v>Add SLA, support, and seller review context to proposed interventions.</x:v>
      </x:c>
      <x:c r="H8" s="10" t="str">
        <x:v>Ranking alone may lead to the wrong commercial action.</x:v>
      </x:c>
      <x:c r="I8" s="10" t="str">
        <x:v>P2 - capability improvement</x:v>
      </x:c>
      <x:c r="J8" s="10" t="str">
        <x:v>Marketplace Operations Manager</x:v>
      </x:c>
      <x:c r="K8" s="10" t="str">
        <x:v>MKT-REQ-04</x:v>
      </x:c>
      <x:c r="L8" s="10" t="str">
        <x:v>Request order_id, fee schedule, returns, item costs, seller SLAs, and ledger control totals before extending this case into commercial profitability.</x:v>
      </x:c>
      <x:c r="M8" s="10" t="str">
        <x:v>Add SLA, support, and seller review context to proposed interventions.</x:v>
      </x:c>
      <x:c r="N8" s="10" t="str">
        <x:v>Operations validates a review queue with documented context and dispositions.</x:v>
      </x:c>
      <x:c r="O8" s="11" t="str">
        <x:v>Open</x:v>
      </x:c>
      <x:c r="P8" s="12" t="str"/>
      <x:c r="Q8" s="11" t="str"/>
      <x:c r="R8" s="11" t="str"/>
      <x:c r="S8" s="12" t="str"/>
      <x:c r="T8" s="13" t="str">
        <x:f>IF(O8&lt;&gt;"Closed","Open",IF(AND(LEN(Q8)&gt;0,LEN(R8)&gt;0,ISNUMBER(S8)),"Ready","Missing closure evidence"))</x:f>
        <x:v>Open</x:v>
      </x:c>
      <x:c r="U8" s="13" t="str">
        <x:f>IF(ISNUMBER(P8),IF(AND(P8&lt;Dashboard!$B$4,T8&lt;&gt;"Ready"),"Overdue","On track"),"No due date")</x:f>
        <x:v>No due date</x:v>
      </x:c>
    </x:row>
    <x:row r="9" ht="54" customHeight="1">
      <x:c r="A9" s="10" t="str">
        <x:v>MKT</x:v>
      </x:c>
      <x:c r="B9" s="10" t="str">
        <x:v>MKT-GAP-04</x:v>
      </x:c>
      <x:c r="C9" s="10" t="str">
        <x:v>Technology</x:v>
      </x:c>
      <x:c r="D9" s="10" t="str">
        <x:v>BI certification</x:v>
      </x:c>
      <x:c r="E9" s="10" t="str">
        <x:v>The local dashboard recalculates filters and exposes lineage. Historical PBIX/TWB files are unverified.</x:v>
      </x:c>
      <x:c r="F9" s="10" t="str">
        <x:v>amazon_marketplace_aligned.csv; Analysis/data_profile.json; SQL/Q01-Q05; Local_System/server.py</x:v>
      </x:c>
      <x:c r="G9" s="10" t="str">
        <x:v>Rebuild the native semantic model and verify filters, measures, accessibility, and exports.</x:v>
      </x:c>
      <x:c r="H9" s="10" t="str">
        <x:v>A historical native dashboard may differ from canonical SQL.</x:v>
      </x:c>
      <x:c r="I9" s="10" t="str">
        <x:v>P2 - capability improvement</x:v>
      </x:c>
      <x:c r="J9" s="10" t="str">
        <x:v>BI Engineer</x:v>
      </x:c>
      <x:c r="K9" s="10" t="str">
        <x:v>MKT-REQ-02</x:v>
      </x:c>
      <x:c r="L9" s="10" t="str">
        <x:v>Approved platform, accountable owner, and representative environment</x:v>
      </x:c>
      <x:c r="M9" s="10" t="str">
        <x:v>Rebuild the native semantic model and verify filters, measures, accessibility, and exports.</x:v>
      </x:c>
      <x:c r="N9" s="10" t="str">
        <x:v>Native measure totals reconcile to Q01-Q05 and interactive/access test evidence is retained.</x:v>
      </x:c>
      <x:c r="O9" s="11" t="str">
        <x:v>Open</x:v>
      </x:c>
      <x:c r="P9" s="12" t="str"/>
      <x:c r="Q9" s="11" t="str"/>
      <x:c r="R9" s="11" t="str"/>
      <x:c r="S9" s="12" t="str"/>
      <x:c r="T9" s="13" t="str">
        <x:f>IF(O9&lt;&gt;"Closed","Open",IF(AND(LEN(Q9)&gt;0,LEN(R9)&gt;0,ISNUMBER(S9)),"Ready","Missing closure evidence"))</x:f>
        <x:v>Open</x:v>
      </x:c>
      <x:c r="U9" s="13" t="str">
        <x:f>IF(ISNUMBER(P9),IF(AND(P9&lt;Dashboard!$B$4,T9&lt;&gt;"Ready"),"Overdue","On track"),"No due date")</x:f>
        <x:v>No due date</x:v>
      </x:c>
    </x:row>
    <x:row r="10" ht="54" customHeight="1">
      <x:c r="A10" s="10" t="str">
        <x:v>MKT</x:v>
      </x:c>
      <x:c r="B10" s="10" t="str">
        <x:v>MKT-GAP-05</x:v>
      </x:c>
      <x:c r="C10" s="10" t="str">
        <x:v>Security / controls</x:v>
      </x:c>
      <x:c r="D10" s="10" t="str">
        <x:v>Production access</x:v>
      </x:c>
      <x:c r="E10" s="10" t="str">
        <x:v>Local accounts and backend role checks are implemented. Enterprise SSO and business-scope RLS are absent.</x:v>
      </x:c>
      <x:c r="F10" s="10" t="str">
        <x:v>amazon_marketplace_aligned.csv; Analysis/data_profile.json; SQL/Q01-Q05; Local_System/server.py</x:v>
      </x:c>
      <x:c r="G10" s="10" t="str">
        <x:v>Configure approved identity, least-privilege business scope, export policy, and revoked-access behavior.</x:v>
      </x:c>
      <x:c r="H10" s="10" t="str">
        <x:v>Local account controls do not establish enterprise deployment readiness.</x:v>
      </x:c>
      <x:c r="I10" s="10" t="str">
        <x:v>P1 - release control</x:v>
      </x:c>
      <x:c r="J10" s="10" t="str">
        <x:v>Security / Control Reviewer</x:v>
      </x:c>
      <x:c r="K10" s="10" t="str">
        <x:v>MKT-REQ-08</x:v>
      </x:c>
      <x:c r="L10" s="10" t="str">
        <x:v>Approved platform, accountable owner, and representative environment</x:v>
      </x:c>
      <x:c r="M10" s="10" t="str">
        <x:v>Configure approved identity, least-privilege business scope, export policy, and revoked-access behavior.</x:v>
      </x:c>
      <x:c r="N10" s="10" t="str">
        <x:v>Positive/negative scope tests, revocation, and export checks pass in the chosen environment.</x:v>
      </x:c>
      <x:c r="O10" s="11" t="str">
        <x:v>Open</x:v>
      </x:c>
      <x:c r="P10" s="12" t="str"/>
      <x:c r="Q10" s="11" t="str"/>
      <x:c r="R10" s="11" t="str"/>
      <x:c r="S10" s="12" t="str"/>
      <x:c r="T10" s="13" t="str">
        <x:f>IF(O10&lt;&gt;"Closed","Open",IF(AND(LEN(Q10)&gt;0,LEN(R10)&gt;0,ISNUMBER(S10)),"Ready","Missing closure evidence"))</x:f>
        <x:v>Open</x:v>
      </x:c>
      <x:c r="U10" s="13" t="str">
        <x:f>IF(ISNUMBER(P10),IF(AND(P10&lt;Dashboard!$B$4,T10&lt;&gt;"Ready"),"Overdue","On track"),"No due date")</x:f>
        <x:v>No due date</x:v>
      </x:c>
    </x:row>
    <x:row r="11" ht="54" customHeight="1">
      <x:c r="A11" s="10" t="str">
        <x:v>MKT</x:v>
      </x:c>
      <x:c r="B11" s="10" t="str">
        <x:v>MKT-GAP-06</x:v>
      </x:c>
      <x:c r="C11" s="10" t="str">
        <x:v>People / acceptance</x:v>
      </x:c>
      <x:c r="D11" s="10" t="str">
        <x:v>Business acceptance</x:v>
      </x:c>
      <x:c r="E11" s="10" t="str">
        <x:v>144 planned UAT cases are seeded Not executed. The app records executions, evidence, and independent reviews.</x:v>
      </x:c>
      <x:c r="F11" s="10" t="str">
        <x:v>amazon_marketplace_aligned.csv; Analysis/data_profile.json; SQL/Q01-Q05; Local_System/server.py</x:v>
      </x:c>
      <x:c r="G11" s="10" t="str">
        <x:v>Execute representative tasks with actual business reviewers and resolve defects.</x:v>
      </x:c>
      <x:c r="H11" s="10" t="str">
        <x:v>A technical pass does not establish user acceptance.</x:v>
      </x:c>
      <x:c r="I11" s="10" t="str">
        <x:v>P1 - release control</x:v>
      </x:c>
      <x:c r="J11" s="10" t="str">
        <x:v>Marketplace Operations Manager</x:v>
      </x:c>
      <x:c r="K11" s="10" t="str">
        <x:v>MKT-REQ-04</x:v>
      </x:c>
      <x:c r="L11" s="10" t="str">
        <x:v>Approved platform, accountable owner, and representative environment</x:v>
      </x:c>
      <x:c r="M11" s="10" t="str">
        <x:v>Execute representative tasks with actual business reviewers and resolve defects.</x:v>
      </x:c>
      <x:c r="N11" s="10" t="str">
        <x:v>Actual UAT evidence, reviewer identity, defect dispositions, and sponsor decision are recorded.</x:v>
      </x:c>
      <x:c r="O11" s="11" t="str">
        <x:v>Open</x:v>
      </x:c>
      <x:c r="P11" s="12" t="str"/>
      <x:c r="Q11" s="11" t="str"/>
      <x:c r="R11" s="11" t="str"/>
      <x:c r="S11" s="12" t="str"/>
      <x:c r="T11" s="13" t="str">
        <x:f>IF(O11&lt;&gt;"Closed","Open",IF(AND(LEN(Q11)&gt;0,LEN(R11)&gt;0,ISNUMBER(S11)),"Ready","Missing closure evidence"))</x:f>
        <x:v>Open</x:v>
      </x:c>
      <x:c r="U11" s="13" t="str">
        <x:f>IF(ISNUMBER(P11),IF(AND(P11&lt;Dashboard!$B$4,T11&lt;&gt;"Ready"),"Overdue","On track"),"No due date")</x:f>
        <x:v>No due date</x:v>
      </x:c>
    </x:row>
    <x:row r="12" ht="54" customHeight="1">
      <x:c r="A12" s="10" t="str">
        <x:v>MKT</x:v>
      </x:c>
      <x:c r="B12" s="10" t="str">
        <x:v>MKT-GAP-07</x:v>
      </x:c>
      <x:c r="C12" s="10" t="str">
        <x:v>Operations</x:v>
      </x:c>
      <x:c r="D12" s="10" t="str">
        <x:v>Operational scheduling</x:v>
      </x:c>
      <x:c r="E12" s="10" t="str">
        <x:v>Admin can refresh sources transactionally; hashes and refresh runs persist. Unattended scheduling is external.</x:v>
      </x:c>
      <x:c r="F12" s="10" t="str">
        <x:v>amazon_marketplace_aligned.csv; Analysis/data_profile.json; SQL/Q01-Q05; Local_System/server.py</x:v>
      </x:c>
      <x:c r="G12" s="10" t="str">
        <x:v>Agree refresh frequency, monitoring owner, retention, backup, and rollback expectations.</x:v>
      </x:c>
      <x:c r="H12" s="10" t="str">
        <x:v>A failed upstream export may leave stale reporting without agreed escalation.</x:v>
      </x:c>
      <x:c r="I12" s="10" t="str">
        <x:v>P2 - capability improvement</x:v>
      </x:c>
      <x:c r="J12" s="10" t="str">
        <x:v>Operations Owner</x:v>
      </x:c>
      <x:c r="K12" s="10" t="str">
        <x:v>MKT-REQ-01</x:v>
      </x:c>
      <x:c r="L12" s="10" t="str">
        <x:v>Approved platform, accountable owner, and representative environment</x:v>
      </x:c>
      <x:c r="M12" s="10" t="str">
        <x:v>Agree refresh frequency, monitoring owner, retention, backup, and rollback expectations.</x:v>
      </x:c>
      <x:c r="N12" s="10" t="str">
        <x:v>Scheduled run and failure alert are exercised; restore a backup and reconcile controls.</x:v>
      </x:c>
      <x:c r="O12" s="11" t="str">
        <x:v>Open</x:v>
      </x:c>
      <x:c r="P12" s="12" t="str"/>
      <x:c r="Q12" s="11" t="str"/>
      <x:c r="R12" s="11" t="str"/>
      <x:c r="S12" s="12" t="str"/>
      <x:c r="T12" s="13" t="str">
        <x:f>IF(O12&lt;&gt;"Closed","Open",IF(AND(LEN(Q12)&gt;0,LEN(R12)&gt;0,ISNUMBER(S12)),"Ready","Missing closure evidence"))</x:f>
        <x:v>Open</x:v>
      </x:c>
      <x:c r="U12" s="13" t="str">
        <x:f>IF(ISNUMBER(P12),IF(AND(P12&lt;Dashboard!$B$4,T12&lt;&gt;"Ready"),"Overdue","On track"),"No due date")</x:f>
        <x:v>No due date</x:v>
      </x:c>
    </x:row>
    <x:row r="13" ht="54" customHeight="1">
      <x:c r="A13" s="10" t="str">
        <x:v>MKT</x:v>
      </x:c>
      <x:c r="B13" s="10" t="str">
        <x:v>MKT-GAP-08</x:v>
      </x:c>
      <x:c r="C13" s="10" t="str">
        <x:v>Benefits</x:v>
      </x:c>
      <x:c r="D13" s="10" t="str">
        <x:v>Benefit baseline</x:v>
      </x:c>
      <x:c r="E13" s="10" t="str">
        <x:v>No measured production reporting time, task success, or adoption baseline exists.</x:v>
      </x:c>
      <x:c r="F13" s="10" t="str">
        <x:v>amazon_marketplace_aligned.csv; Analysis/data_profile.json; SQL/Q01-Q05; Local_System/server.py</x:v>
      </x:c>
      <x:c r="G13" s="10" t="str">
        <x:v>Collect comparable baseline and pilot measurements before claiming benefits.</x:v>
      </x:c>
      <x:c r="H13" s="10" t="str">
        <x:v>No realized time saving, uplift, or forecast improvement can be asserted.</x:v>
      </x:c>
      <x:c r="I13" s="10" t="str">
        <x:v>P2 - capability improvement</x:v>
      </x:c>
      <x:c r="J13" s="10" t="str">
        <x:v>Marketplace Operations Manager</x:v>
      </x:c>
      <x:c r="K13" s="10" t="str">
        <x:v>MKT-REQ-05</x:v>
      </x:c>
      <x:c r="L13" s="10" t="str">
        <x:v>Approved platform, accountable owner, and representative environment</x:v>
      </x:c>
      <x:c r="M13" s="10" t="str">
        <x:v>Collect comparable baseline and pilot measurements before claiming benefits.</x:v>
      </x:c>
      <x:c r="N13" s="10" t="str">
        <x:v>Baseline and pilot measures include comparable populations, sample sizes, and uncertainty.</x:v>
      </x:c>
      <x:c r="O13" s="11" t="str">
        <x:v>Open</x:v>
      </x:c>
      <x:c r="P13" s="12" t="str"/>
      <x:c r="Q13" s="11" t="str"/>
      <x:c r="R13" s="11" t="str"/>
      <x:c r="S13" s="12" t="str"/>
      <x:c r="T13" s="13" t="str">
        <x:f>IF(O13&lt;&gt;"Closed","Open",IF(AND(LEN(Q13)&gt;0,LEN(R13)&gt;0,ISNUMBER(S13)),"Ready","Missing closure evidence"))</x:f>
        <x:v>Open</x:v>
      </x:c>
      <x:c r="U13" s="13" t="str">
        <x:f>IF(ISNUMBER(P13),IF(AND(P13&lt;Dashboard!$B$4,T13&lt;&gt;"Ready"),"Overdue","On track"),"No due date")</x:f>
        <x:v>No due date</x:v>
      </x:c>
    </x:row>
    <x:row r="14" ht="54" customHeight="1">
      <x:c r="A14" s="10" t="str">
        <x:v>ECOM</x:v>
      </x:c>
      <x:c r="B14" s="10" t="str">
        <x:v>ECOM-GAP-01</x:v>
      </x:c>
      <x:c r="C14" s="10" t="str">
        <x:v>Data</x:v>
      </x:c>
      <x:c r="D14" s="10" t="str">
        <x:v>Identity and deduplication</x:v>
      </x:c>
      <x:c r="E14" s="10" t="str">
        <x:v>14,000 anonymous observations include 138 complete repeated rows.</x:v>
      </x:c>
      <x:c r="F14" s="10" t="str">
        <x:v>ecommerce_product_analytics_aligned.csv; Analysis/data_profile.json; SQL/Q01-Q05; Local_System/server.py</x:v>
      </x:c>
      <x:c r="G14" s="10" t="str">
        <x:v>Add event/session identifiers and a validated event contract.</x:v>
      </x:c>
      <x:c r="H14" s="10" t="str">
        <x:v>Distinct customers and safe deduplication cannot be established.</x:v>
      </x:c>
      <x:c r="I14" s="10" t="str">
        <x:v>P1 - release control</x:v>
      </x:c>
      <x:c r="J14" s="10" t="str">
        <x:v>Checkout Product Manager</x:v>
      </x:c>
      <x:c r="K14" s="10" t="str">
        <x:v>ECOM-REQ-01</x:v>
      </x:c>
      <x:c r="L14" s="10" t="str">
        <x:v>Add event_id, session_id, exposure_id, experiment_variant, timestamps, shipping quote events, payment outcomes, and consent flags before causal experimentation.</x:v>
      </x:c>
      <x:c r="M14" s="10" t="str">
        <x:v>Add event/session identifiers and a validated event contract.</x:v>
      </x:c>
      <x:c r="N14" s="10" t="str">
        <x:v>Event keys are validated; injected repeats and legitimate identical observations are handled differently.</x:v>
      </x:c>
      <x:c r="O14" s="11" t="str">
        <x:v>Open</x:v>
      </x:c>
      <x:c r="P14" s="12" t="str"/>
      <x:c r="Q14" s="11" t="str"/>
      <x:c r="R14" s="11" t="str"/>
      <x:c r="S14" s="12" t="str"/>
      <x:c r="T14" s="13" t="str">
        <x:f>IF(O14&lt;&gt;"Closed","Open",IF(AND(LEN(Q14)&gt;0,LEN(R14)&gt;0,ISNUMBER(S14)),"Ready","Missing closure evidence"))</x:f>
        <x:v>Open</x:v>
      </x:c>
      <x:c r="U14" s="13" t="str">
        <x:f>IF(ISNUMBER(P14),IF(AND(P14&lt;Dashboard!$B$4,T14&lt;&gt;"Ready"),"Overdue","On track"),"No due date")</x:f>
        <x:v>No due date</x:v>
      </x:c>
    </x:row>
    <x:row r="15" ht="54" customHeight="1">
      <x:c r="A15" s="10" t="str">
        <x:v>ECOM</x:v>
      </x:c>
      <x:c r="B15" s="10" t="str">
        <x:v>ECOM-GAP-02</x:v>
      </x:c>
      <x:c r="C15" s="10" t="str">
        <x:v>Data / metrics</x:v>
      </x:c>
      <x:c r="D15" s="10" t="str">
        <x:v>Causal instrumentation</x:v>
      </x:c>
      <x:c r="E15" s="10" t="str">
        <x:v>Shipping quote, payment error, and experiment exposure fields are absent.</x:v>
      </x:c>
      <x:c r="F15" s="10" t="str">
        <x:v>ecommerce_product_analytics_aligned.csv; Analysis/data_profile.json; SQL/Q01-Q05; Local_System/server.py</x:v>
      </x:c>
      <x:c r="G15" s="10" t="str">
        <x:v>Instrument checkout events and randomized exposure before causal testing.</x:v>
      </x:c>
      <x:c r="H15" s="10" t="str">
        <x:v>Funnel loss does not establish an abandonment cause.</x:v>
      </x:c>
      <x:c r="I15" s="10" t="str">
        <x:v>P2 - capability improvement</x:v>
      </x:c>
      <x:c r="J15" s="10" t="str">
        <x:v>Checkout Product Manager</x:v>
      </x:c>
      <x:c r="K15" s="10" t="str">
        <x:v>ECOM-REQ-07</x:v>
      </x:c>
      <x:c r="L15" s="10" t="str">
        <x:v>Add event_id, session_id, exposure_id, experiment_variant, timestamps, shipping quote events, payment outcomes, and consent flags before causal experimentation.</x:v>
      </x:c>
      <x:c r="M15" s="10" t="str">
        <x:v>Instrument checkout events and randomized exposure before causal testing.</x:v>
      </x:c>
      <x:c r="N15" s="10" t="str">
        <x:v>Event tests verify assignment/exposure; analysis reports denominators and guardrails.</x:v>
      </x:c>
      <x:c r="O15" s="11" t="str">
        <x:v>Open</x:v>
      </x:c>
      <x:c r="P15" s="12" t="str"/>
      <x:c r="Q15" s="11" t="str"/>
      <x:c r="R15" s="11" t="str"/>
      <x:c r="S15" s="12" t="str"/>
      <x:c r="T15" s="13" t="str">
        <x:f>IF(O15&lt;&gt;"Closed","Open",IF(AND(LEN(Q15)&gt;0,LEN(R15)&gt;0,ISNUMBER(S15)),"Ready","Missing closure evidence"))</x:f>
        <x:v>Open</x:v>
      </x:c>
      <x:c r="U15" s="13" t="str">
        <x:f>IF(ISNUMBER(P15),IF(AND(P15&lt;Dashboard!$B$4,T15&lt;&gt;"Ready"),"Overdue","On track"),"No due date")</x:f>
        <x:v>No due date</x:v>
      </x:c>
    </x:row>
    <x:row r="16" ht="54" customHeight="1">
      <x:c r="A16" s="10" t="str">
        <x:v>ECOM</x:v>
      </x:c>
      <x:c r="B16" s="10" t="str">
        <x:v>ECOM-GAP-03</x:v>
      </x:c>
      <x:c r="C16" s="10" t="str">
        <x:v>Business process</x:v>
      </x:c>
      <x:c r="D16" s="10" t="str">
        <x:v>Profit definition</x:v>
      </x:c>
      <x:c r="E16" s="10" t="str">
        <x:v>Supplied profit is available without a reconciled cost ledger.</x:v>
      </x:c>
      <x:c r="F16" s="10" t="str">
        <x:v>ecommerce_product_analytics_aligned.csv; Analysis/data_profile.json; SQL/Q01-Q05; Local_System/server.py</x:v>
      </x:c>
      <x:c r="G16" s="10" t="str">
        <x:v>Confirm returns, shipping, and cost treatment with Finance.</x:v>
      </x:c>
      <x:c r="H16" s="10" t="str">
        <x:v>Product economics may omit material costs.</x:v>
      </x:c>
      <x:c r="I16" s="10" t="str">
        <x:v>P2 - capability improvement</x:v>
      </x:c>
      <x:c r="J16" s="10" t="str">
        <x:v>Checkout Product Manager</x:v>
      </x:c>
      <x:c r="K16" s="10" t="str">
        <x:v>ECOM-REQ-05</x:v>
      </x:c>
      <x:c r="L16" s="10" t="str">
        <x:v>Add event_id, session_id, exposure_id, experiment_variant, timestamps, shipping quote events, payment outcomes, and consent flags before causal experimentation.</x:v>
      </x:c>
      <x:c r="M16" s="10" t="str">
        <x:v>Confirm returns, shipping, and cost treatment with Finance.</x:v>
      </x:c>
      <x:c r="N16" s="10" t="str">
        <x:v>Finance signs off a source cost bridge and weighted margin acceptance example.</x:v>
      </x:c>
      <x:c r="O16" s="11" t="str">
        <x:v>Open</x:v>
      </x:c>
      <x:c r="P16" s="12" t="str"/>
      <x:c r="Q16" s="11" t="str"/>
      <x:c r="R16" s="11" t="str"/>
      <x:c r="S16" s="12" t="str"/>
      <x:c r="T16" s="13" t="str">
        <x:f>IF(O16&lt;&gt;"Closed","Open",IF(AND(LEN(Q16)&gt;0,LEN(R16)&gt;0,ISNUMBER(S16)),"Ready","Missing closure evidence"))</x:f>
        <x:v>Open</x:v>
      </x:c>
      <x:c r="U16" s="13" t="str">
        <x:f>IF(ISNUMBER(P16),IF(AND(P16&lt;Dashboard!$B$4,T16&lt;&gt;"Ready"),"Overdue","On track"),"No due date")</x:f>
        <x:v>No due date</x:v>
      </x:c>
    </x:row>
    <x:row r="17" ht="54" customHeight="1">
      <x:c r="A17" s="10" t="str">
        <x:v>ECOM</x:v>
      </x:c>
      <x:c r="B17" s="10" t="str">
        <x:v>ECOM-GAP-04</x:v>
      </x:c>
      <x:c r="C17" s="10" t="str">
        <x:v>Technology</x:v>
      </x:c>
      <x:c r="D17" s="10" t="str">
        <x:v>BI certification</x:v>
      </x:c>
      <x:c r="E17" s="10" t="str">
        <x:v>The local dashboard recalculates filters and exposes lineage. Historical PBIX/TWB files are unverified.</x:v>
      </x:c>
      <x:c r="F17" s="10" t="str">
        <x:v>ecommerce_product_analytics_aligned.csv; Analysis/data_profile.json; SQL/Q01-Q05; Local_System/server.py</x:v>
      </x:c>
      <x:c r="G17" s="10" t="str">
        <x:v>Rebuild the native semantic model and verify filters, measures, accessibility, and exports.</x:v>
      </x:c>
      <x:c r="H17" s="10" t="str">
        <x:v>A historical native dashboard may differ from canonical SQL.</x:v>
      </x:c>
      <x:c r="I17" s="10" t="str">
        <x:v>P2 - capability improvement</x:v>
      </x:c>
      <x:c r="J17" s="10" t="str">
        <x:v>BI Engineer</x:v>
      </x:c>
      <x:c r="K17" s="10" t="str">
        <x:v>ECOM-REQ-02</x:v>
      </x:c>
      <x:c r="L17" s="10" t="str">
        <x:v>Approved platform, accountable owner, and representative environment</x:v>
      </x:c>
      <x:c r="M17" s="10" t="str">
        <x:v>Rebuild the native semantic model and verify filters, measures, accessibility, and exports.</x:v>
      </x:c>
      <x:c r="N17" s="10" t="str">
        <x:v>Native measure totals reconcile to Q01-Q05 and interactive/access test evidence is retained.</x:v>
      </x:c>
      <x:c r="O17" s="11" t="str">
        <x:v>Open</x:v>
      </x:c>
      <x:c r="P17" s="12" t="str"/>
      <x:c r="Q17" s="11" t="str"/>
      <x:c r="R17" s="11" t="str"/>
      <x:c r="S17" s="12" t="str"/>
      <x:c r="T17" s="13" t="str">
        <x:f>IF(O17&lt;&gt;"Closed","Open",IF(AND(LEN(Q17)&gt;0,LEN(R17)&gt;0,ISNUMBER(S17)),"Ready","Missing closure evidence"))</x:f>
        <x:v>Open</x:v>
      </x:c>
      <x:c r="U17" s="13" t="str">
        <x:f>IF(ISNUMBER(P17),IF(AND(P17&lt;Dashboard!$B$4,T17&lt;&gt;"Ready"),"Overdue","On track"),"No due date")</x:f>
        <x:v>No due date</x:v>
      </x:c>
    </x:row>
    <x:row r="18" ht="54" customHeight="1">
      <x:c r="A18" s="10" t="str">
        <x:v>ECOM</x:v>
      </x:c>
      <x:c r="B18" s="10" t="str">
        <x:v>ECOM-GAP-05</x:v>
      </x:c>
      <x:c r="C18" s="10" t="str">
        <x:v>Security / controls</x:v>
      </x:c>
      <x:c r="D18" s="10" t="str">
        <x:v>Production access</x:v>
      </x:c>
      <x:c r="E18" s="10" t="str">
        <x:v>Local accounts and backend role checks are implemented. Enterprise SSO and business-scope RLS are absent.</x:v>
      </x:c>
      <x:c r="F18" s="10" t="str">
        <x:v>ecommerce_product_analytics_aligned.csv; Analysis/data_profile.json; SQL/Q01-Q05; Local_System/server.py</x:v>
      </x:c>
      <x:c r="G18" s="10" t="str">
        <x:v>Configure approved identity, least-privilege business scope, export policy, and revoked-access behavior.</x:v>
      </x:c>
      <x:c r="H18" s="10" t="str">
        <x:v>Local account controls do not establish enterprise deployment readiness.</x:v>
      </x:c>
      <x:c r="I18" s="10" t="str">
        <x:v>P1 - release control</x:v>
      </x:c>
      <x:c r="J18" s="10" t="str">
        <x:v>Security / Control Reviewer</x:v>
      </x:c>
      <x:c r="K18" s="10" t="str">
        <x:v>ECOM-REQ-08</x:v>
      </x:c>
      <x:c r="L18" s="10" t="str">
        <x:v>Approved platform, accountable owner, and representative environment</x:v>
      </x:c>
      <x:c r="M18" s="10" t="str">
        <x:v>Configure approved identity, least-privilege business scope, export policy, and revoked-access behavior.</x:v>
      </x:c>
      <x:c r="N18" s="10" t="str">
        <x:v>Positive/negative scope tests, revocation, and export checks pass in the chosen environment.</x:v>
      </x:c>
      <x:c r="O18" s="11" t="str">
        <x:v>Open</x:v>
      </x:c>
      <x:c r="P18" s="12" t="str"/>
      <x:c r="Q18" s="11" t="str"/>
      <x:c r="R18" s="11" t="str"/>
      <x:c r="S18" s="12" t="str"/>
      <x:c r="T18" s="13" t="str">
        <x:f>IF(O18&lt;&gt;"Closed","Open",IF(AND(LEN(Q18)&gt;0,LEN(R18)&gt;0,ISNUMBER(S18)),"Ready","Missing closure evidence"))</x:f>
        <x:v>Open</x:v>
      </x:c>
      <x:c r="U18" s="13" t="str">
        <x:f>IF(ISNUMBER(P18),IF(AND(P18&lt;Dashboard!$B$4,T18&lt;&gt;"Ready"),"Overdue","On track"),"No due date")</x:f>
        <x:v>No due date</x:v>
      </x:c>
    </x:row>
    <x:row r="19" ht="54" customHeight="1">
      <x:c r="A19" s="10" t="str">
        <x:v>ECOM</x:v>
      </x:c>
      <x:c r="B19" s="10" t="str">
        <x:v>ECOM-GAP-06</x:v>
      </x:c>
      <x:c r="C19" s="10" t="str">
        <x:v>People / acceptance</x:v>
      </x:c>
      <x:c r="D19" s="10" t="str">
        <x:v>Business acceptance</x:v>
      </x:c>
      <x:c r="E19" s="10" t="str">
        <x:v>144 planned UAT cases are seeded Not executed. The app records executions, evidence, and independent reviews.</x:v>
      </x:c>
      <x:c r="F19" s="10" t="str">
        <x:v>ecommerce_product_analytics_aligned.csv; Analysis/data_profile.json; SQL/Q01-Q05; Local_System/server.py</x:v>
      </x:c>
      <x:c r="G19" s="10" t="str">
        <x:v>Execute representative tasks with actual business reviewers and resolve defects.</x:v>
      </x:c>
      <x:c r="H19" s="10" t="str">
        <x:v>A technical pass does not establish user acceptance.</x:v>
      </x:c>
      <x:c r="I19" s="10" t="str">
        <x:v>P1 - release control</x:v>
      </x:c>
      <x:c r="J19" s="10" t="str">
        <x:v>Checkout Product Manager</x:v>
      </x:c>
      <x:c r="K19" s="10" t="str">
        <x:v>ECOM-REQ-04</x:v>
      </x:c>
      <x:c r="L19" s="10" t="str">
        <x:v>Approved platform, accountable owner, and representative environment</x:v>
      </x:c>
      <x:c r="M19" s="10" t="str">
        <x:v>Execute representative tasks with actual business reviewers and resolve defects.</x:v>
      </x:c>
      <x:c r="N19" s="10" t="str">
        <x:v>Actual UAT evidence, reviewer identity, defect dispositions, and sponsor decision are recorded.</x:v>
      </x:c>
      <x:c r="O19" s="11" t="str">
        <x:v>Open</x:v>
      </x:c>
      <x:c r="P19" s="12" t="str"/>
      <x:c r="Q19" s="11" t="str"/>
      <x:c r="R19" s="11" t="str"/>
      <x:c r="S19" s="12" t="str"/>
      <x:c r="T19" s="13" t="str">
        <x:f>IF(O19&lt;&gt;"Closed","Open",IF(AND(LEN(Q19)&gt;0,LEN(R19)&gt;0,ISNUMBER(S19)),"Ready","Missing closure evidence"))</x:f>
        <x:v>Open</x:v>
      </x:c>
      <x:c r="U19" s="13" t="str">
        <x:f>IF(ISNUMBER(P19),IF(AND(P19&lt;Dashboard!$B$4,T19&lt;&gt;"Ready"),"Overdue","On track"),"No due date")</x:f>
        <x:v>No due date</x:v>
      </x:c>
    </x:row>
    <x:row r="20" ht="54" customHeight="1">
      <x:c r="A20" s="10" t="str">
        <x:v>ECOM</x:v>
      </x:c>
      <x:c r="B20" s="10" t="str">
        <x:v>ECOM-GAP-07</x:v>
      </x:c>
      <x:c r="C20" s="10" t="str">
        <x:v>Operations</x:v>
      </x:c>
      <x:c r="D20" s="10" t="str">
        <x:v>Operational scheduling</x:v>
      </x:c>
      <x:c r="E20" s="10" t="str">
        <x:v>Admin can refresh sources transactionally; hashes and refresh runs persist. Unattended scheduling is external.</x:v>
      </x:c>
      <x:c r="F20" s="10" t="str">
        <x:v>ecommerce_product_analytics_aligned.csv; Analysis/data_profile.json; SQL/Q01-Q05; Local_System/server.py</x:v>
      </x:c>
      <x:c r="G20" s="10" t="str">
        <x:v>Agree refresh frequency, monitoring owner, retention, backup, and rollback expectations.</x:v>
      </x:c>
      <x:c r="H20" s="10" t="str">
        <x:v>A failed upstream export may leave stale reporting without agreed escalation.</x:v>
      </x:c>
      <x:c r="I20" s="10" t="str">
        <x:v>P2 - capability improvement</x:v>
      </x:c>
      <x:c r="J20" s="10" t="str">
        <x:v>Operations Owner</x:v>
      </x:c>
      <x:c r="K20" s="10" t="str">
        <x:v>ECOM-REQ-01</x:v>
      </x:c>
      <x:c r="L20" s="10" t="str">
        <x:v>Approved platform, accountable owner, and representative environment</x:v>
      </x:c>
      <x:c r="M20" s="10" t="str">
        <x:v>Agree refresh frequency, monitoring owner, retention, backup, and rollback expectations.</x:v>
      </x:c>
      <x:c r="N20" s="10" t="str">
        <x:v>Scheduled run and failure alert are exercised; restore a backup and reconcile controls.</x:v>
      </x:c>
      <x:c r="O20" s="11" t="str">
        <x:v>Open</x:v>
      </x:c>
      <x:c r="P20" s="12" t="str"/>
      <x:c r="Q20" s="11" t="str"/>
      <x:c r="R20" s="11" t="str"/>
      <x:c r="S20" s="12" t="str"/>
      <x:c r="T20" s="13" t="str">
        <x:f>IF(O20&lt;&gt;"Closed","Open",IF(AND(LEN(Q20)&gt;0,LEN(R20)&gt;0,ISNUMBER(S20)),"Ready","Missing closure evidence"))</x:f>
        <x:v>Open</x:v>
      </x:c>
      <x:c r="U20" s="13" t="str">
        <x:f>IF(ISNUMBER(P20),IF(AND(P20&lt;Dashboard!$B$4,T20&lt;&gt;"Ready"),"Overdue","On track"),"No due date")</x:f>
        <x:v>No due date</x:v>
      </x:c>
    </x:row>
    <x:row r="21" ht="54" customHeight="1">
      <x:c r="A21" s="10" t="str">
        <x:v>ECOM</x:v>
      </x:c>
      <x:c r="B21" s="10" t="str">
        <x:v>ECOM-GAP-08</x:v>
      </x:c>
      <x:c r="C21" s="10" t="str">
        <x:v>Benefits</x:v>
      </x:c>
      <x:c r="D21" s="10" t="str">
        <x:v>Benefit baseline</x:v>
      </x:c>
      <x:c r="E21" s="10" t="str">
        <x:v>No measured production reporting time, task success, or adoption baseline exists.</x:v>
      </x:c>
      <x:c r="F21" s="10" t="str">
        <x:v>ecommerce_product_analytics_aligned.csv; Analysis/data_profile.json; SQL/Q01-Q05; Local_System/server.py</x:v>
      </x:c>
      <x:c r="G21" s="10" t="str">
        <x:v>Collect comparable baseline and pilot measurements before claiming benefits.</x:v>
      </x:c>
      <x:c r="H21" s="10" t="str">
        <x:v>No realized time saving, uplift, or forecast improvement can be asserted.</x:v>
      </x:c>
      <x:c r="I21" s="10" t="str">
        <x:v>P2 - capability improvement</x:v>
      </x:c>
      <x:c r="J21" s="10" t="str">
        <x:v>Checkout Product Manager</x:v>
      </x:c>
      <x:c r="K21" s="10" t="str">
        <x:v>ECOM-REQ-05</x:v>
      </x:c>
      <x:c r="L21" s="10" t="str">
        <x:v>Approved platform, accountable owner, and representative environment</x:v>
      </x:c>
      <x:c r="M21" s="10" t="str">
        <x:v>Collect comparable baseline and pilot measurements before claiming benefits.</x:v>
      </x:c>
      <x:c r="N21" s="10" t="str">
        <x:v>Baseline and pilot measures include comparable populations, sample sizes, and uncertainty.</x:v>
      </x:c>
      <x:c r="O21" s="11" t="str">
        <x:v>Open</x:v>
      </x:c>
      <x:c r="P21" s="12" t="str"/>
      <x:c r="Q21" s="11" t="str"/>
      <x:c r="R21" s="11" t="str"/>
      <x:c r="S21" s="12" t="str"/>
      <x:c r="T21" s="13" t="str">
        <x:f>IF(O21&lt;&gt;"Closed","Open",IF(AND(LEN(Q21)&gt;0,LEN(R21)&gt;0,ISNUMBER(S21)),"Ready","Missing closure evidence"))</x:f>
        <x:v>Open</x:v>
      </x:c>
      <x:c r="U21" s="13" t="str">
        <x:f>IF(ISNUMBER(P21),IF(AND(P21&lt;Dashboard!$B$4,T21&lt;&gt;"Ready"),"Overdue","On track"),"No due date")</x:f>
        <x:v>No due date</x:v>
      </x:c>
    </x:row>
    <x:row r="22" ht="54" customHeight="1">
      <x:c r="A22" s="10" t="str">
        <x:v>FIN</x:v>
      </x:c>
      <x:c r="B22" s="10" t="str">
        <x:v>FIN-GAP-01</x:v>
      </x:c>
      <x:c r="C22" s="10" t="str">
        <x:v>Data</x:v>
      </x:c>
      <x:c r="D22" s="10" t="str">
        <x:v>Ledger authorization</x:v>
      </x:c>
      <x:c r="E22" s="10" t="str">
        <x:v>30 of 30 revenue comparisons match; approved ledger provenance is not supplied.</x:v>
      </x:c>
      <x:c r="F22" s="10" t="str">
        <x:v>fpna_finance_fact.csv; Analysis/data_profile.json; SQL/Q01-Q05; Local_System/server.py</x:v>
      </x:c>
      <x:c r="G22" s="10" t="str">
        <x:v>Obtain ledger control totals, chart mapping, and an approved close version.</x:v>
      </x:c>
      <x:c r="H22" s="10" t="str">
        <x:v>Matching extracts alone do not prove an authorized financial close.</x:v>
      </x:c>
      <x:c r="I22" s="10" t="str">
        <x:v>P1 - release control</x:v>
      </x:c>
      <x:c r="J22" s="10" t="str">
        <x:v>FP&amp;A Manager</x:v>
      </x:c>
      <x:c r="K22" s="10" t="str">
        <x:v>FIN-REQ-05</x:v>
      </x:c>
      <x:c r="L22" s="10" t="str">
        <x:v>Obtain ledger control totals, chart-of-accounts mapping, approved budget version, FX policy, fiscal calendar, and controller signoff before production finance use.</x:v>
      </x:c>
      <x:c r="M22" s="10" t="str">
        <x:v>Obtain ledger control totals, chart mapping, and an approved close version.</x:v>
      </x:c>
      <x:c r="N22" s="10" t="str">
        <x:v>Controller approves source scope and totals; mismatched and missing-source fixtures are retained.</x:v>
      </x:c>
      <x:c r="O22" s="11" t="str">
        <x:v>Open</x:v>
      </x:c>
      <x:c r="P22" s="12" t="str"/>
      <x:c r="Q22" s="11" t="str"/>
      <x:c r="R22" s="11" t="str"/>
      <x:c r="S22" s="12" t="str"/>
      <x:c r="T22" s="13" t="str">
        <x:f>IF(O22&lt;&gt;"Closed","Open",IF(AND(LEN(Q22)&gt;0,LEN(R22)&gt;0,ISNUMBER(S22)),"Ready","Missing closure evidence"))</x:f>
        <x:v>Open</x:v>
      </x:c>
      <x:c r="U22" s="13" t="str">
        <x:f>IF(ISNUMBER(P22),IF(AND(P22&lt;Dashboard!$B$4,T22&lt;&gt;"Ready"),"Overdue","On track"),"No due date")</x:f>
        <x:v>No due date</x:v>
      </x:c>
    </x:row>
    <x:row r="23" ht="54" customHeight="1">
      <x:c r="A23" s="10" t="str">
        <x:v>FIN</x:v>
      </x:c>
      <x:c r="B23" s="10" t="str">
        <x:v>FIN-GAP-02</x:v>
      </x:c>
      <x:c r="C23" s="10" t="str">
        <x:v>Data / metrics</x:v>
      </x:c>
      <x:c r="D23" s="10" t="str">
        <x:v>Currency and calendar</x:v>
      </x:c>
      <x:c r="E23" s="10" t="str">
        <x:v>USD is a portfolio assumption; production FX and fiscal policies are absent.</x:v>
      </x:c>
      <x:c r="F23" s="10" t="str">
        <x:v>fpna_finance_fact.csv; Analysis/data_profile.json; SQL/Q01-Q05; Local_System/server.py</x:v>
      </x:c>
      <x:c r="G23" s="10" t="str">
        <x:v>Agree currency, FX conversion, and fiscal calendar mappings.</x:v>
      </x:c>
      <x:c r="H23" s="10" t="str">
        <x:v>Cross-region consolidation could mix incomparable amounts.</x:v>
      </x:c>
      <x:c r="I23" s="10" t="str">
        <x:v>P2 - capability improvement</x:v>
      </x:c>
      <x:c r="J23" s="10" t="str">
        <x:v>FP&amp;A Manager</x:v>
      </x:c>
      <x:c r="K23" s="10" t="str">
        <x:v>FIN-REQ-03</x:v>
      </x:c>
      <x:c r="L23" s="10" t="str">
        <x:v>Obtain ledger control totals, chart-of-accounts mapping, approved budget version, FX policy, fiscal calendar, and controller signoff before production finance use.</x:v>
      </x:c>
      <x:c r="M23" s="10" t="str">
        <x:v>Agree currency, FX conversion, and fiscal calendar mappings.</x:v>
      </x:c>
      <x:c r="N23" s="10" t="str">
        <x:v>Finance approves mappings and boundary fixtures for fiscal/FX handling.</x:v>
      </x:c>
      <x:c r="O23" s="11" t="str">
        <x:v>Open</x:v>
      </x:c>
      <x:c r="P23" s="12" t="str"/>
      <x:c r="Q23" s="11" t="str"/>
      <x:c r="R23" s="11" t="str"/>
      <x:c r="S23" s="12" t="str"/>
      <x:c r="T23" s="13" t="str">
        <x:f>IF(O23&lt;&gt;"Closed","Open",IF(AND(LEN(Q23)&gt;0,LEN(R23)&gt;0,ISNUMBER(S23)),"Ready","Missing closure evidence"))</x:f>
        <x:v>Open</x:v>
      </x:c>
      <x:c r="U23" s="13" t="str">
        <x:f>IF(ISNUMBER(P23),IF(AND(P23&lt;Dashboard!$B$4,T23&lt;&gt;"Ready"),"Overdue","On track"),"No due date")</x:f>
        <x:v>No due date</x:v>
      </x:c>
    </x:row>
    <x:row r="24" ht="54" customHeight="1">
      <x:c r="A24" s="10" t="str">
        <x:v>FIN</x:v>
      </x:c>
      <x:c r="B24" s="10" t="str">
        <x:v>FIN-GAP-03</x:v>
      </x:c>
      <x:c r="C24" s="10" t="str">
        <x:v>Business process</x:v>
      </x:c>
      <x:c r="D24" s="10" t="str">
        <x:v>Forecast evaluation</x:v>
      </x:c>
      <x:c r="E24" s="10" t="str">
        <x:v>Actual/budget extracts exist without forecast history.</x:v>
      </x:c>
      <x:c r="F24" s="10" t="str">
        <x:v>fpna_finance_fact.csv; Analysis/data_profile.json; SQL/Q01-Q05; Local_System/server.py</x:v>
      </x:c>
      <x:c r="G24" s="10" t="str">
        <x:v>Collect dated forecast versions and actual outcomes before evaluating accuracy.</x:v>
      </x:c>
      <x:c r="H24" s="10" t="str">
        <x:v>No forecast improvement can be measured.</x:v>
      </x:c>
      <x:c r="I24" s="10" t="str">
        <x:v>P2 - capability improvement</x:v>
      </x:c>
      <x:c r="J24" s="10" t="str">
        <x:v>FP&amp;A Manager</x:v>
      </x:c>
      <x:c r="K24" s="10" t="str">
        <x:v>FIN-REQ-08</x:v>
      </x:c>
      <x:c r="L24" s="10" t="str">
        <x:v>Obtain ledger control totals, chart-of-accounts mapping, approved budget version, FX policy, fiscal calendar, and controller signoff before production finance use.</x:v>
      </x:c>
      <x:c r="M24" s="10" t="str">
        <x:v>Collect dated forecast versions and actual outcomes before evaluating accuracy.</x:v>
      </x:c>
      <x:c r="N24" s="10" t="str">
        <x:v>Define error metric and evaluate a held-out history without rewriting prior versions.</x:v>
      </x:c>
      <x:c r="O24" s="11" t="str">
        <x:v>Open</x:v>
      </x:c>
      <x:c r="P24" s="12" t="str"/>
      <x:c r="Q24" s="11" t="str"/>
      <x:c r="R24" s="11" t="str"/>
      <x:c r="S24" s="12" t="str"/>
      <x:c r="T24" s="13" t="str">
        <x:f>IF(O24&lt;&gt;"Closed","Open",IF(AND(LEN(Q24)&gt;0,LEN(R24)&gt;0,ISNUMBER(S24)),"Ready","Missing closure evidence"))</x:f>
        <x:v>Open</x:v>
      </x:c>
      <x:c r="U24" s="13" t="str">
        <x:f>IF(ISNUMBER(P24),IF(AND(P24&lt;Dashboard!$B$4,T24&lt;&gt;"Ready"),"Overdue","On track"),"No due date")</x:f>
        <x:v>No due date</x:v>
      </x:c>
    </x:row>
    <x:row r="25" ht="40" customHeight="1">
      <x:c r="A25" s="10" t="str">
        <x:v>FIN</x:v>
      </x:c>
      <x:c r="B25" s="10" t="str">
        <x:v>FIN-GAP-04</x:v>
      </x:c>
      <x:c r="C25" s="10" t="str">
        <x:v>Technology</x:v>
      </x:c>
      <x:c r="D25" s="10" t="str">
        <x:v>BI certification</x:v>
      </x:c>
      <x:c r="E25" s="10" t="str">
        <x:v>The local dashboard recalculates filters and exposes lineage. Historical PBIX/TWB files are unverified.</x:v>
      </x:c>
      <x:c r="F25" s="10" t="str">
        <x:v>fpna_finance_fact.csv; Analysis/data_profile.json; SQL/Q01-Q05; Local_System/server.py</x:v>
      </x:c>
      <x:c r="G25" s="10" t="str">
        <x:v>Rebuild the native semantic model and verify filters, measures, accessibility, and exports.</x:v>
      </x:c>
      <x:c r="H25" s="10" t="str">
        <x:v>A historical native dashboard may differ from canonical SQL.</x:v>
      </x:c>
      <x:c r="I25" s="10" t="str">
        <x:v>P2 - capability improvement</x:v>
      </x:c>
      <x:c r="J25" s="10" t="str">
        <x:v>BI Engineer</x:v>
      </x:c>
      <x:c r="K25" s="10" t="str">
        <x:v>FIN-REQ-02</x:v>
      </x:c>
      <x:c r="L25" s="10" t="str">
        <x:v>Approved platform, accountable owner, and representative environment</x:v>
      </x:c>
      <x:c r="M25" s="10" t="str">
        <x:v>Rebuild the native semantic model and verify filters, measures, accessibility, and exports.</x:v>
      </x:c>
      <x:c r="N25" s="10" t="str">
        <x:v>Native measure totals reconcile to Q01-Q05 and interactive/access test evidence is retained.</x:v>
      </x:c>
      <x:c r="O25" s="11" t="str">
        <x:v>Open</x:v>
      </x:c>
      <x:c r="P25" s="12" t="str"/>
      <x:c r="Q25" s="11" t="str"/>
      <x:c r="R25" s="11" t="str"/>
      <x:c r="S25" s="12" t="str"/>
      <x:c r="T25" s="13" t="str">
        <x:f>IF(O25&lt;&gt;"Closed","Open",IF(AND(LEN(Q25)&gt;0,LEN(R25)&gt;0,ISNUMBER(S25)),"Ready","Missing closure evidence"))</x:f>
        <x:v>Open</x:v>
      </x:c>
      <x:c r="U25" s="13" t="str">
        <x:f>IF(ISNUMBER(P25),IF(AND(P25&lt;Dashboard!$B$4,T25&lt;&gt;"Ready"),"Overdue","On track"),"No due date")</x:f>
        <x:v>No due date</x:v>
      </x:c>
    </x:row>
    <x:row r="26" ht="40" customHeight="1">
      <x:c r="A26" s="10" t="str">
        <x:v>FIN</x:v>
      </x:c>
      <x:c r="B26" s="10" t="str">
        <x:v>FIN-GAP-05</x:v>
      </x:c>
      <x:c r="C26" s="10" t="str">
        <x:v>Security / controls</x:v>
      </x:c>
      <x:c r="D26" s="10" t="str">
        <x:v>Production access</x:v>
      </x:c>
      <x:c r="E26" s="10" t="str">
        <x:v>Local accounts and backend role checks are implemented. Enterprise SSO and business-scope RLS are absent.</x:v>
      </x:c>
      <x:c r="F26" s="10" t="str">
        <x:v>fpna_finance_fact.csv; Analysis/data_profile.json; SQL/Q01-Q05; Local_System/server.py</x:v>
      </x:c>
      <x:c r="G26" s="10" t="str">
        <x:v>Configure approved identity, least-privilege business scope, export policy, and revoked-access behavior.</x:v>
      </x:c>
      <x:c r="H26" s="10" t="str">
        <x:v>Local account controls do not establish enterprise deployment readiness.</x:v>
      </x:c>
      <x:c r="I26" s="10" t="str">
        <x:v>P1 - release control</x:v>
      </x:c>
      <x:c r="J26" s="10" t="str">
        <x:v>Security / Control Reviewer</x:v>
      </x:c>
      <x:c r="K26" s="10" t="str">
        <x:v>FIN-REQ-08</x:v>
      </x:c>
      <x:c r="L26" s="10" t="str">
        <x:v>Approved platform, accountable owner, and representative environment</x:v>
      </x:c>
      <x:c r="M26" s="10" t="str">
        <x:v>Configure approved identity, least-privilege business scope, export policy, and revoked-access behavior.</x:v>
      </x:c>
      <x:c r="N26" s="10" t="str">
        <x:v>Positive/negative scope tests, revocation, and export checks pass in the chosen environment.</x:v>
      </x:c>
      <x:c r="O26" s="11" t="str">
        <x:v>Open</x:v>
      </x:c>
      <x:c r="P26" s="12" t="str"/>
      <x:c r="Q26" s="11" t="str"/>
      <x:c r="R26" s="11" t="str"/>
      <x:c r="S26" s="12" t="str"/>
      <x:c r="T26" s="13" t="str">
        <x:f>IF(O26&lt;&gt;"Closed","Open",IF(AND(LEN(Q26)&gt;0,LEN(R26)&gt;0,ISNUMBER(S26)),"Ready","Missing closure evidence"))</x:f>
        <x:v>Open</x:v>
      </x:c>
      <x:c r="U26" s="13" t="str">
        <x:f>IF(ISNUMBER(P26),IF(AND(P26&lt;Dashboard!$B$4,T26&lt;&gt;"Ready"),"Overdue","On track"),"No due date")</x:f>
        <x:v>No due date</x:v>
      </x:c>
    </x:row>
    <x:row r="27" ht="40" customHeight="1">
      <x:c r="A27" s="10" t="str">
        <x:v>FIN</x:v>
      </x:c>
      <x:c r="B27" s="10" t="str">
        <x:v>FIN-GAP-06</x:v>
      </x:c>
      <x:c r="C27" s="10" t="str">
        <x:v>People / acceptance</x:v>
      </x:c>
      <x:c r="D27" s="10" t="str">
        <x:v>Business acceptance</x:v>
      </x:c>
      <x:c r="E27" s="10" t="str">
        <x:v>144 planned UAT cases are seeded Not executed. The app records executions, evidence, and independent reviews.</x:v>
      </x:c>
      <x:c r="F27" s="10" t="str">
        <x:v>fpna_finance_fact.csv; Analysis/data_profile.json; SQL/Q01-Q05; Local_System/server.py</x:v>
      </x:c>
      <x:c r="G27" s="10" t="str">
        <x:v>Execute representative tasks with actual business reviewers and resolve defects.</x:v>
      </x:c>
      <x:c r="H27" s="10" t="str">
        <x:v>A technical pass does not establish user acceptance.</x:v>
      </x:c>
      <x:c r="I27" s="10" t="str">
        <x:v>P1 - release control</x:v>
      </x:c>
      <x:c r="J27" s="10" t="str">
        <x:v>FP&amp;A Manager</x:v>
      </x:c>
      <x:c r="K27" s="10" t="str">
        <x:v>FIN-REQ-04</x:v>
      </x:c>
      <x:c r="L27" s="10" t="str">
        <x:v>Approved platform, accountable owner, and representative environment</x:v>
      </x:c>
      <x:c r="M27" s="10" t="str">
        <x:v>Execute representative tasks with actual business reviewers and resolve defects.</x:v>
      </x:c>
      <x:c r="N27" s="10" t="str">
        <x:v>Actual UAT evidence, reviewer identity, defect dispositions, and sponsor decision are recorded.</x:v>
      </x:c>
      <x:c r="O27" s="11" t="str">
        <x:v>Open</x:v>
      </x:c>
      <x:c r="P27" s="12" t="str"/>
      <x:c r="Q27" s="11" t="str"/>
      <x:c r="R27" s="11" t="str"/>
      <x:c r="S27" s="12" t="str"/>
      <x:c r="T27" s="13" t="str">
        <x:f>IF(O27&lt;&gt;"Closed","Open",IF(AND(LEN(Q27)&gt;0,LEN(R27)&gt;0,ISNUMBER(S27)),"Ready","Missing closure evidence"))</x:f>
        <x:v>Open</x:v>
      </x:c>
      <x:c r="U27" s="13" t="str">
        <x:f>IF(ISNUMBER(P27),IF(AND(P27&lt;Dashboard!$B$4,T27&lt;&gt;"Ready"),"Overdue","On track"),"No due date")</x:f>
        <x:v>No due date</x:v>
      </x:c>
    </x:row>
    <x:row r="28" ht="40" customHeight="1">
      <x:c r="A28" s="10" t="str">
        <x:v>FIN</x:v>
      </x:c>
      <x:c r="B28" s="10" t="str">
        <x:v>FIN-GAP-07</x:v>
      </x:c>
      <x:c r="C28" s="10" t="str">
        <x:v>Operations</x:v>
      </x:c>
      <x:c r="D28" s="10" t="str">
        <x:v>Operational scheduling</x:v>
      </x:c>
      <x:c r="E28" s="10" t="str">
        <x:v>Admin can refresh sources transactionally; hashes and refresh runs persist. Unattended scheduling is external.</x:v>
      </x:c>
      <x:c r="F28" s="10" t="str">
        <x:v>fpna_finance_fact.csv; Analysis/data_profile.json; SQL/Q01-Q05; Local_System/server.py</x:v>
      </x:c>
      <x:c r="G28" s="10" t="str">
        <x:v>Agree refresh frequency, monitoring owner, retention, backup, and rollback expectations.</x:v>
      </x:c>
      <x:c r="H28" s="10" t="str">
        <x:v>A failed upstream export may leave stale reporting without agreed escalation.</x:v>
      </x:c>
      <x:c r="I28" s="10" t="str">
        <x:v>P2 - capability improvement</x:v>
      </x:c>
      <x:c r="J28" s="10" t="str">
        <x:v>Operations Owner</x:v>
      </x:c>
      <x:c r="K28" s="10" t="str">
        <x:v>FIN-REQ-01</x:v>
      </x:c>
      <x:c r="L28" s="10" t="str">
        <x:v>Approved platform, accountable owner, and representative environment</x:v>
      </x:c>
      <x:c r="M28" s="10" t="str">
        <x:v>Agree refresh frequency, monitoring owner, retention, backup, and rollback expectations.</x:v>
      </x:c>
      <x:c r="N28" s="10" t="str">
        <x:v>Scheduled run and failure alert are exercised; restore a backup and reconcile controls.</x:v>
      </x:c>
      <x:c r="O28" s="11" t="str">
        <x:v>Open</x:v>
      </x:c>
      <x:c r="P28" s="12" t="str"/>
      <x:c r="Q28" s="11" t="str"/>
      <x:c r="R28" s="11" t="str"/>
      <x:c r="S28" s="12" t="str"/>
      <x:c r="T28" s="13" t="str">
        <x:f>IF(O28&lt;&gt;"Closed","Open",IF(AND(LEN(Q28)&gt;0,LEN(R28)&gt;0,ISNUMBER(S28)),"Ready","Missing closure evidence"))</x:f>
        <x:v>Open</x:v>
      </x:c>
      <x:c r="U28" s="13" t="str">
        <x:f>IF(ISNUMBER(P28),IF(AND(P28&lt;Dashboard!$B$4,T28&lt;&gt;"Ready"),"Overdue","On track"),"No due date")</x:f>
        <x:v>No due date</x:v>
      </x:c>
    </x:row>
    <x:row r="29" ht="40" customHeight="1">
      <x:c r="A29" s="10" t="str">
        <x:v>FIN</x:v>
      </x:c>
      <x:c r="B29" s="10" t="str">
        <x:v>FIN-GAP-08</x:v>
      </x:c>
      <x:c r="C29" s="10" t="str">
        <x:v>Benefits</x:v>
      </x:c>
      <x:c r="D29" s="10" t="str">
        <x:v>Benefit baseline</x:v>
      </x:c>
      <x:c r="E29" s="10" t="str">
        <x:v>No measured production reporting time, task success, or adoption baseline exists.</x:v>
      </x:c>
      <x:c r="F29" s="10" t="str">
        <x:v>fpna_finance_fact.csv; Analysis/data_profile.json; SQL/Q01-Q05; Local_System/server.py</x:v>
      </x:c>
      <x:c r="G29" s="10" t="str">
        <x:v>Collect comparable baseline and pilot measurements before claiming benefits.</x:v>
      </x:c>
      <x:c r="H29" s="10" t="str">
        <x:v>No realized time saving, uplift, or forecast improvement can be asserted.</x:v>
      </x:c>
      <x:c r="I29" s="10" t="str">
        <x:v>P2 - capability improvement</x:v>
      </x:c>
      <x:c r="J29" s="10" t="str">
        <x:v>FP&amp;A Manager</x:v>
      </x:c>
      <x:c r="K29" s="10" t="str">
        <x:v>FIN-REQ-05</x:v>
      </x:c>
      <x:c r="L29" s="10" t="str">
        <x:v>Approved platform, accountable owner, and representative environment</x:v>
      </x:c>
      <x:c r="M29" s="10" t="str">
        <x:v>Collect comparable baseline and pilot measurements before claiming benefits.</x:v>
      </x:c>
      <x:c r="N29" s="10" t="str">
        <x:v>Baseline and pilot measures include comparable populations, sample sizes, and uncertainty.</x:v>
      </x:c>
      <x:c r="O29" s="11" t="str">
        <x:v>Open</x:v>
      </x:c>
      <x:c r="P29" s="12" t="str"/>
      <x:c r="Q29" s="11" t="str"/>
      <x:c r="R29" s="11" t="str"/>
      <x:c r="S29" s="12" t="str"/>
      <x:c r="T29" s="13" t="str">
        <x:f>IF(O29&lt;&gt;"Closed","Open",IF(AND(LEN(Q29)&gt;0,LEN(R29)&gt;0,ISNUMBER(S29)),"Ready","Missing closure evidence"))</x:f>
        <x:v>Open</x:v>
      </x:c>
      <x:c r="U29" s="13" t="str">
        <x:f>IF(ISNUMBER(P29),IF(AND(P29&lt;Dashboard!$B$4,T29&lt;&gt;"Ready"),"Overdue","On track"),"No due date")</x:f>
        <x:v>No due date</x:v>
      </x:c>
    </x:row>
    <x:row r="30" ht="54" customHeight="1">
      <x:c r="A30" s="10" t="str">
        <x:v>ADS</x:v>
      </x:c>
      <x:c r="B30" s="10" t="str">
        <x:v>ADS-GAP-01</x:v>
      </x:c>
      <x:c r="C30" s="10" t="str">
        <x:v>Data</x:v>
      </x:c>
      <x:c r="D30" s="10" t="str">
        <x:v>Attribution contract</x:v>
      </x:c>
      <x:c r="E30" s="10" t="str">
        <x:v>Attributed revenue is present; attribution window and event keys are unknown.</x:v>
      </x:c>
      <x:c r="F30" s="10" t="str">
        <x:v>marketing_ads_roi_dashboard_aligned.csv; Analysis/data_profile.json; SQL/Q01-Q05; Local_System/server.py</x:v>
      </x:c>
      <x:c r="G30" s="10" t="str">
        <x:v>Agree conversion window, campaign identifiers, and revenue reconciliation.</x:v>
      </x:c>
      <x:c r="H30" s="10" t="str">
        <x:v>Cross-channel ROAS comparisons may use incompatible populations.</x:v>
      </x:c>
      <x:c r="I30" s="10" t="str">
        <x:v>P1 - release control</x:v>
      </x:c>
      <x:c r="J30" s="10" t="str">
        <x:v>Marketing Operations Manager</x:v>
      </x:c>
      <x:c r="K30" s="10" t="str">
        <x:v>ADS-REQ-01</x:v>
      </x:c>
      <x:c r="L30" s="10" t="str">
        <x:v>Obtain campaign IDs, attribution windows, order-level revenue, returns, COGS, agency fees, and experiment assignments before full ROI or incrementality reporting.</x:v>
      </x:c>
      <x:c r="M30" s="10" t="str">
        <x:v>Agree conversion window, campaign identifiers, and revenue reconciliation.</x:v>
      </x:c>
      <x:c r="N30" s="10" t="str">
        <x:v>Marketing and Finance approve the attribution contract and reconciliation.</x:v>
      </x:c>
      <x:c r="O30" s="11" t="str">
        <x:v>Open</x:v>
      </x:c>
      <x:c r="P30" s="12" t="str"/>
      <x:c r="Q30" s="11" t="str"/>
      <x:c r="R30" s="11" t="str"/>
      <x:c r="S30" s="12" t="str"/>
      <x:c r="T30" s="13" t="str">
        <x:f>IF(O30&lt;&gt;"Closed","Open",IF(AND(LEN(Q30)&gt;0,LEN(R30)&gt;0,ISNUMBER(S30)),"Ready","Missing closure evidence"))</x:f>
        <x:v>Open</x:v>
      </x:c>
      <x:c r="U30" s="13" t="str">
        <x:f>IF(ISNUMBER(P30),IF(AND(P30&lt;Dashboard!$B$4,T30&lt;&gt;"Ready"),"Overdue","On track"),"No due date")</x:f>
        <x:v>No due date</x:v>
      </x:c>
    </x:row>
    <x:row r="31" ht="54" customHeight="1">
      <x:c r="A31" s="10" t="str">
        <x:v>ADS</x:v>
      </x:c>
      <x:c r="B31" s="10" t="str">
        <x:v>ADS-GAP-02</x:v>
      </x:c>
      <x:c r="C31" s="10" t="str">
        <x:v>Data / metrics</x:v>
      </x:c>
      <x:c r="D31" s="10" t="str">
        <x:v>Full ROI inputs</x:v>
      </x:c>
      <x:c r="E31" s="10" t="str">
        <x:v>Revenue minus spend excludes COGS, returns, fees, and overhead.</x:v>
      </x:c>
      <x:c r="F31" s="10" t="str">
        <x:v>marketing_ads_roi_dashboard_aligned.csv; Analysis/data_profile.json; SQL/Q01-Q05; Local_System/server.py</x:v>
      </x:c>
      <x:c r="G31" s="10" t="str">
        <x:v>Add approved cost inputs before reporting full business ROI.</x:v>
      </x:c>
      <x:c r="H31" s="10" t="str">
        <x:v>Ad-only contribution may be mistaken for net profit.</x:v>
      </x:c>
      <x:c r="I31" s="10" t="str">
        <x:v>P2 - capability improvement</x:v>
      </x:c>
      <x:c r="J31" s="10" t="str">
        <x:v>Marketing Operations Manager</x:v>
      </x:c>
      <x:c r="K31" s="10" t="str">
        <x:v>ADS-REQ-07</x:v>
      </x:c>
      <x:c r="L31" s="10" t="str">
        <x:v>Obtain campaign IDs, attribution windows, order-level revenue, returns, COGS, agency fees, and experiment assignments before full ROI or incrementality reporting.</x:v>
      </x:c>
      <x:c r="M31" s="10" t="str">
        <x:v>Add approved cost inputs before reporting full business ROI.</x:v>
      </x:c>
      <x:c r="N31" s="10" t="str">
        <x:v>A reconciled cost bridge supports the new metric; existing labels remain accurate.</x:v>
      </x:c>
      <x:c r="O31" s="11" t="str">
        <x:v>Open</x:v>
      </x:c>
      <x:c r="P31" s="12" t="str"/>
      <x:c r="Q31" s="11" t="str"/>
      <x:c r="R31" s="11" t="str"/>
      <x:c r="S31" s="12" t="str"/>
      <x:c r="T31" s="13" t="str">
        <x:f>IF(O31&lt;&gt;"Closed","Open",IF(AND(LEN(Q31)&gt;0,LEN(R31)&gt;0,ISNUMBER(S31)),"Ready","Missing closure evidence"))</x:f>
        <x:v>Open</x:v>
      </x:c>
      <x:c r="U31" s="13" t="str">
        <x:f>IF(ISNUMBER(P31),IF(AND(P31&lt;Dashboard!$B$4,T31&lt;&gt;"Ready"),"Overdue","On track"),"No due date")</x:f>
        <x:v>No due date</x:v>
      </x:c>
    </x:row>
    <x:row r="32" ht="54" customHeight="1">
      <x:c r="A32" s="10" t="str">
        <x:v>ADS</x:v>
      </x:c>
      <x:c r="B32" s="10" t="str">
        <x:v>ADS-GAP-03</x:v>
      </x:c>
      <x:c r="C32" s="10" t="str">
        <x:v>Business process</x:v>
      </x:c>
      <x:c r="D32" s="10" t="str">
        <x:v>Incrementality evidence</x:v>
      </x:c>
      <x:c r="E32" s="10" t="str">
        <x:v>High observed ROAS has no randomized/holdout evidence.</x:v>
      </x:c>
      <x:c r="F32" s="10" t="str">
        <x:v>marketing_ads_roi_dashboard_aligned.csv; Analysis/data_profile.json; SQL/Q01-Q05; Local_System/server.py</x:v>
      </x:c>
      <x:c r="G32" s="10" t="str">
        <x:v>Run a capped budget pilot with a holdout, stop rules, and saturation review.</x:v>
      </x:c>
      <x:c r="H32" s="10" t="str">
        <x:v>Observed efficiency does not prove marginal return on extra spend.</x:v>
      </x:c>
      <x:c r="I32" s="10" t="str">
        <x:v>P2 - capability improvement</x:v>
      </x:c>
      <x:c r="J32" s="10" t="str">
        <x:v>Marketing Operations Manager</x:v>
      </x:c>
      <x:c r="K32" s="10" t="str">
        <x:v>ADS-REQ-06</x:v>
      </x:c>
      <x:c r="L32" s="10" t="str">
        <x:v>Obtain campaign IDs, attribution windows, order-level revenue, returns, COGS, agency fees, and experiment assignments before full ROI or incrementality reporting.</x:v>
      </x:c>
      <x:c r="M32" s="10" t="str">
        <x:v>Run a capped budget pilot with a holdout, stop rules, and saturation review.</x:v>
      </x:c>
      <x:c r="N32" s="10" t="str">
        <x:v>Pilot assignment, actual spend, guardrails, and approved interpretation are recorded.</x:v>
      </x:c>
      <x:c r="O32" s="11" t="str">
        <x:v>Open</x:v>
      </x:c>
      <x:c r="P32" s="12" t="str"/>
      <x:c r="Q32" s="11" t="str"/>
      <x:c r="R32" s="11" t="str"/>
      <x:c r="S32" s="12" t="str"/>
      <x:c r="T32" s="13" t="str">
        <x:f>IF(O32&lt;&gt;"Closed","Open",IF(AND(LEN(Q32)&gt;0,LEN(R32)&gt;0,ISNUMBER(S32)),"Ready","Missing closure evidence"))</x:f>
        <x:v>Open</x:v>
      </x:c>
      <x:c r="U32" s="13" t="str">
        <x:f>IF(ISNUMBER(P32),IF(AND(P32&lt;Dashboard!$B$4,T32&lt;&gt;"Ready"),"Overdue","On track"),"No due date")</x:f>
        <x:v>No due date</x:v>
      </x:c>
    </x:row>
    <x:row r="33" ht="54" customHeight="1">
      <x:c r="A33" s="10" t="str">
        <x:v>ADS</x:v>
      </x:c>
      <x:c r="B33" s="10" t="str">
        <x:v>ADS-GAP-04</x:v>
      </x:c>
      <x:c r="C33" s="10" t="str">
        <x:v>Technology</x:v>
      </x:c>
      <x:c r="D33" s="10" t="str">
        <x:v>BI certification</x:v>
      </x:c>
      <x:c r="E33" s="10" t="str">
        <x:v>The local dashboard recalculates filters and exposes lineage. Historical PBIX/TWB files are unverified.</x:v>
      </x:c>
      <x:c r="F33" s="10" t="str">
        <x:v>marketing_ads_roi_dashboard_aligned.csv; Analysis/data_profile.json; SQL/Q01-Q05; Local_System/server.py</x:v>
      </x:c>
      <x:c r="G33" s="10" t="str">
        <x:v>Rebuild the native semantic model and verify filters, measures, accessibility, and exports.</x:v>
      </x:c>
      <x:c r="H33" s="10" t="str">
        <x:v>A historical native dashboard may differ from canonical SQL.</x:v>
      </x:c>
      <x:c r="I33" s="10" t="str">
        <x:v>P2 - capability improvement</x:v>
      </x:c>
      <x:c r="J33" s="10" t="str">
        <x:v>BI Engineer</x:v>
      </x:c>
      <x:c r="K33" s="10" t="str">
        <x:v>ADS-REQ-02</x:v>
      </x:c>
      <x:c r="L33" s="10" t="str">
        <x:v>Approved platform, accountable owner, and representative environment</x:v>
      </x:c>
      <x:c r="M33" s="10" t="str">
        <x:v>Rebuild the native semantic model and verify filters, measures, accessibility, and exports.</x:v>
      </x:c>
      <x:c r="N33" s="10" t="str">
        <x:v>Native measure totals reconcile to Q01-Q05 and interactive/access test evidence is retained.</x:v>
      </x:c>
      <x:c r="O33" s="11" t="str">
        <x:v>Open</x:v>
      </x:c>
      <x:c r="P33" s="12" t="str"/>
      <x:c r="Q33" s="11" t="str"/>
      <x:c r="R33" s="11" t="str"/>
      <x:c r="S33" s="12" t="str"/>
      <x:c r="T33" s="13" t="str">
        <x:f>IF(O33&lt;&gt;"Closed","Open",IF(AND(LEN(Q33)&gt;0,LEN(R33)&gt;0,ISNUMBER(S33)),"Ready","Missing closure evidence"))</x:f>
        <x:v>Open</x:v>
      </x:c>
      <x:c r="U33" s="13" t="str">
        <x:f>IF(ISNUMBER(P33),IF(AND(P33&lt;Dashboard!$B$4,T33&lt;&gt;"Ready"),"Overdue","On track"),"No due date")</x:f>
        <x:v>No due date</x:v>
      </x:c>
    </x:row>
    <x:row r="34" ht="54" customHeight="1">
      <x:c r="A34" s="10" t="str">
        <x:v>ADS</x:v>
      </x:c>
      <x:c r="B34" s="10" t="str">
        <x:v>ADS-GAP-05</x:v>
      </x:c>
      <x:c r="C34" s="10" t="str">
        <x:v>Security / controls</x:v>
      </x:c>
      <x:c r="D34" s="10" t="str">
        <x:v>Production access</x:v>
      </x:c>
      <x:c r="E34" s="10" t="str">
        <x:v>Local accounts and backend role checks are implemented. Enterprise SSO and business-scope RLS are absent.</x:v>
      </x:c>
      <x:c r="F34" s="10" t="str">
        <x:v>marketing_ads_roi_dashboard_aligned.csv; Analysis/data_profile.json; SQL/Q01-Q05; Local_System/server.py</x:v>
      </x:c>
      <x:c r="G34" s="10" t="str">
        <x:v>Configure approved identity, least-privilege business scope, export policy, and revoked-access behavior.</x:v>
      </x:c>
      <x:c r="H34" s="10" t="str">
        <x:v>Local account controls do not establish enterprise deployment readiness.</x:v>
      </x:c>
      <x:c r="I34" s="10" t="str">
        <x:v>P1 - release control</x:v>
      </x:c>
      <x:c r="J34" s="10" t="str">
        <x:v>Security / Control Reviewer</x:v>
      </x:c>
      <x:c r="K34" s="10" t="str">
        <x:v>ADS-REQ-08</x:v>
      </x:c>
      <x:c r="L34" s="10" t="str">
        <x:v>Approved platform, accountable owner, and representative environment</x:v>
      </x:c>
      <x:c r="M34" s="10" t="str">
        <x:v>Configure approved identity, least-privilege business scope, export policy, and revoked-access behavior.</x:v>
      </x:c>
      <x:c r="N34" s="10" t="str">
        <x:v>Positive/negative scope tests, revocation, and export checks pass in the chosen environment.</x:v>
      </x:c>
      <x:c r="O34" s="11" t="str">
        <x:v>Open</x:v>
      </x:c>
      <x:c r="P34" s="12" t="str"/>
      <x:c r="Q34" s="11" t="str"/>
      <x:c r="R34" s="11" t="str"/>
      <x:c r="S34" s="12" t="str"/>
      <x:c r="T34" s="13" t="str">
        <x:f>IF(O34&lt;&gt;"Closed","Open",IF(AND(LEN(Q34)&gt;0,LEN(R34)&gt;0,ISNUMBER(S34)),"Ready","Missing closure evidence"))</x:f>
        <x:v>Open</x:v>
      </x:c>
      <x:c r="U34" s="13" t="str">
        <x:f>IF(ISNUMBER(P34),IF(AND(P34&lt;Dashboard!$B$4,T34&lt;&gt;"Ready"),"Overdue","On track"),"No due date")</x:f>
        <x:v>No due date</x:v>
      </x:c>
    </x:row>
    <x:row r="35" ht="54" customHeight="1">
      <x:c r="A35" s="10" t="str">
        <x:v>ADS</x:v>
      </x:c>
      <x:c r="B35" s="10" t="str">
        <x:v>ADS-GAP-06</x:v>
      </x:c>
      <x:c r="C35" s="10" t="str">
        <x:v>People / acceptance</x:v>
      </x:c>
      <x:c r="D35" s="10" t="str">
        <x:v>Business acceptance</x:v>
      </x:c>
      <x:c r="E35" s="10" t="str">
        <x:v>144 planned UAT cases are seeded Not executed. The app records executions, evidence, and independent reviews.</x:v>
      </x:c>
      <x:c r="F35" s="10" t="str">
        <x:v>marketing_ads_roi_dashboard_aligned.csv; Analysis/data_profile.json; SQL/Q01-Q05; Local_System/server.py</x:v>
      </x:c>
      <x:c r="G35" s="10" t="str">
        <x:v>Execute representative tasks with actual business reviewers and resolve defects.</x:v>
      </x:c>
      <x:c r="H35" s="10" t="str">
        <x:v>A technical pass does not establish user acceptance.</x:v>
      </x:c>
      <x:c r="I35" s="10" t="str">
        <x:v>P1 - release control</x:v>
      </x:c>
      <x:c r="J35" s="10" t="str">
        <x:v>Marketing Operations Manager</x:v>
      </x:c>
      <x:c r="K35" s="10" t="str">
        <x:v>ADS-REQ-04</x:v>
      </x:c>
      <x:c r="L35" s="10" t="str">
        <x:v>Approved platform, accountable owner, and representative environment</x:v>
      </x:c>
      <x:c r="M35" s="10" t="str">
        <x:v>Execute representative tasks with actual business reviewers and resolve defects.</x:v>
      </x:c>
      <x:c r="N35" s="10" t="str">
        <x:v>Actual UAT evidence, reviewer identity, defect dispositions, and sponsor decision are recorded.</x:v>
      </x:c>
      <x:c r="O35" s="11" t="str">
        <x:v>Open</x:v>
      </x:c>
      <x:c r="P35" s="12" t="str"/>
      <x:c r="Q35" s="11" t="str"/>
      <x:c r="R35" s="11" t="str"/>
      <x:c r="S35" s="12" t="str"/>
      <x:c r="T35" s="13" t="str">
        <x:f>IF(O35&lt;&gt;"Closed","Open",IF(AND(LEN(Q35)&gt;0,LEN(R35)&gt;0,ISNUMBER(S35)),"Ready","Missing closure evidence"))</x:f>
        <x:v>Open</x:v>
      </x:c>
      <x:c r="U35" s="13" t="str">
        <x:f>IF(ISNUMBER(P35),IF(AND(P35&lt;Dashboard!$B$4,T35&lt;&gt;"Ready"),"Overdue","On track"),"No due date")</x:f>
        <x:v>No due date</x:v>
      </x:c>
    </x:row>
    <x:row r="36" ht="54" customHeight="1">
      <x:c r="A36" s="10" t="str">
        <x:v>ADS</x:v>
      </x:c>
      <x:c r="B36" s="10" t="str">
        <x:v>ADS-GAP-07</x:v>
      </x:c>
      <x:c r="C36" s="10" t="str">
        <x:v>Operations</x:v>
      </x:c>
      <x:c r="D36" s="10" t="str">
        <x:v>Operational scheduling</x:v>
      </x:c>
      <x:c r="E36" s="10" t="str">
        <x:v>Admin can refresh sources transactionally; hashes and refresh runs persist. Unattended scheduling is external.</x:v>
      </x:c>
      <x:c r="F36" s="10" t="str">
        <x:v>marketing_ads_roi_dashboard_aligned.csv; Analysis/data_profile.json; SQL/Q01-Q05; Local_System/server.py</x:v>
      </x:c>
      <x:c r="G36" s="10" t="str">
        <x:v>Agree refresh frequency, monitoring owner, retention, backup, and rollback expectations.</x:v>
      </x:c>
      <x:c r="H36" s="10" t="str">
        <x:v>A failed upstream export may leave stale reporting without agreed escalation.</x:v>
      </x:c>
      <x:c r="I36" s="10" t="str">
        <x:v>P2 - capability improvement</x:v>
      </x:c>
      <x:c r="J36" s="10" t="str">
        <x:v>Operations Owner</x:v>
      </x:c>
      <x:c r="K36" s="10" t="str">
        <x:v>ADS-REQ-01</x:v>
      </x:c>
      <x:c r="L36" s="10" t="str">
        <x:v>Approved platform, accountable owner, and representative environment</x:v>
      </x:c>
      <x:c r="M36" s="10" t="str">
        <x:v>Agree refresh frequency, monitoring owner, retention, backup, and rollback expectations.</x:v>
      </x:c>
      <x:c r="N36" s="10" t="str">
        <x:v>Scheduled run and failure alert are exercised; restore a backup and reconcile controls.</x:v>
      </x:c>
      <x:c r="O36" s="11" t="str">
        <x:v>Open</x:v>
      </x:c>
      <x:c r="P36" s="12" t="str"/>
      <x:c r="Q36" s="11" t="str"/>
      <x:c r="R36" s="11" t="str"/>
      <x:c r="S36" s="12" t="str"/>
      <x:c r="T36" s="13" t="str">
        <x:f>IF(O36&lt;&gt;"Closed","Open",IF(AND(LEN(Q36)&gt;0,LEN(R36)&gt;0,ISNUMBER(S36)),"Ready","Missing closure evidence"))</x:f>
        <x:v>Open</x:v>
      </x:c>
      <x:c r="U36" s="13" t="str">
        <x:f>IF(ISNUMBER(P36),IF(AND(P36&lt;Dashboard!$B$4,T36&lt;&gt;"Ready"),"Overdue","On track"),"No due date")</x:f>
        <x:v>No due date</x:v>
      </x:c>
    </x:row>
    <x:row r="37" ht="54" customHeight="1">
      <x:c r="A37" s="10" t="str">
        <x:v>ADS</x:v>
      </x:c>
      <x:c r="B37" s="10" t="str">
        <x:v>ADS-GAP-08</x:v>
      </x:c>
      <x:c r="C37" s="10" t="str">
        <x:v>Benefits</x:v>
      </x:c>
      <x:c r="D37" s="10" t="str">
        <x:v>Benefit baseline</x:v>
      </x:c>
      <x:c r="E37" s="10" t="str">
        <x:v>No measured production reporting time, task success, or adoption baseline exists.</x:v>
      </x:c>
      <x:c r="F37" s="10" t="str">
        <x:v>marketing_ads_roi_dashboard_aligned.csv; Analysis/data_profile.json; SQL/Q01-Q05; Local_System/server.py</x:v>
      </x:c>
      <x:c r="G37" s="10" t="str">
        <x:v>Collect comparable baseline and pilot measurements before claiming benefits.</x:v>
      </x:c>
      <x:c r="H37" s="10" t="str">
        <x:v>No realized time saving, uplift, or forecast improvement can be asserted.</x:v>
      </x:c>
      <x:c r="I37" s="10" t="str">
        <x:v>P2 - capability improvement</x:v>
      </x:c>
      <x:c r="J37" s="10" t="str">
        <x:v>Marketing Operations Manager</x:v>
      </x:c>
      <x:c r="K37" s="10" t="str">
        <x:v>ADS-REQ-05</x:v>
      </x:c>
      <x:c r="L37" s="10" t="str">
        <x:v>Approved platform, accountable owner, and representative environment</x:v>
      </x:c>
      <x:c r="M37" s="10" t="str">
        <x:v>Collect comparable baseline and pilot measurements before claiming benefits.</x:v>
      </x:c>
      <x:c r="N37" s="10" t="str">
        <x:v>Baseline and pilot measures include comparable populations, sample sizes, and uncertainty.</x:v>
      </x:c>
      <x:c r="O37" s="11" t="str">
        <x:v>Open</x:v>
      </x:c>
      <x:c r="P37" s="12" t="str"/>
      <x:c r="Q37" s="11" t="str"/>
      <x:c r="R37" s="11" t="str"/>
      <x:c r="S37" s="12" t="str"/>
      <x:c r="T37" s="13" t="str">
        <x:f>IF(O37&lt;&gt;"Closed","Open",IF(AND(LEN(Q37)&gt;0,LEN(R37)&gt;0,ISNUMBER(S37)),"Ready","Missing closure evidence"))</x:f>
        <x:v>Open</x:v>
      </x:c>
      <x:c r="U37" s="13" t="str">
        <x:f>IF(ISNUMBER(P37),IF(AND(P37&lt;Dashboard!$B$4,T37&lt;&gt;"Ready"),"Overdue","On track"),"No due date")</x:f>
        <x:v>No due date</x:v>
      </x:c>
    </x:row>
    <x:row r="38" ht="54" customHeight="1">
      <x:c r="A38" s="10" t="str">
        <x:v>REG</x:v>
      </x:c>
      <x:c r="B38" s="10" t="str">
        <x:v>REG-GAP-01</x:v>
      </x:c>
      <x:c r="C38" s="10" t="str">
        <x:v>Data</x:v>
      </x:c>
      <x:c r="D38" s="10" t="str">
        <x:v>Target dataset</x:v>
      </x:c>
      <x:c r="E38" s="10" t="str">
        <x:v>Sales records have no monthly targets, costs, reps, or prior-year data.</x:v>
      </x:c>
      <x:c r="F38" s="10" t="str">
        <x:v>regional_sales_tableau_aligned.csv; Analysis/data_profile.json; SQL/Q01-Q05; Local_System/server.py</x:v>
      </x:c>
      <x:c r="G38" s="10" t="str">
        <x:v>Obtain approved targets and prior-year inputs before adding attainment/YoY metrics.</x:v>
      </x:c>
      <x:c r="H38" s="10" t="str">
        <x:v>Unsupported target and YoY judgments would misrepresent the source.</x:v>
      </x:c>
      <x:c r="I38" s="10" t="str">
        <x:v>P1 - release control</x:v>
      </x:c>
      <x:c r="J38" s="10" t="str">
        <x:v>Sales Operations Manager</x:v>
      </x:c>
      <x:c r="K38" s="10" t="str">
        <x:v>REG-REQ-06</x:v>
      </x:c>
      <x:c r="L38" s="10" t="str">
        <x:v>Obtain monthly targets, store operating calendar, closures, currency, comparable-store flags, costs, and prior-year sales before extending performance conclusions.</x:v>
      </x:c>
      <x:c r="M38" s="10" t="str">
        <x:v>Obtain approved targets and prior-year inputs before adding attainment/YoY metrics.</x:v>
      </x:c>
      <x:c r="N38" s="10" t="str">
        <x:v>New sources reconcile; target and comparable-period formulas pass boundary cases.</x:v>
      </x:c>
      <x:c r="O38" s="11" t="str">
        <x:v>Open</x:v>
      </x:c>
      <x:c r="P38" s="12" t="str"/>
      <x:c r="Q38" s="11" t="str"/>
      <x:c r="R38" s="11" t="str"/>
      <x:c r="S38" s="12" t="str"/>
      <x:c r="T38" s="13" t="str">
        <x:f>IF(O38&lt;&gt;"Closed","Open",IF(AND(LEN(Q38)&gt;0,LEN(R38)&gt;0,ISNUMBER(S38)),"Ready","Missing closure evidence"))</x:f>
        <x:v>Open</x:v>
      </x:c>
      <x:c r="U38" s="13" t="str">
        <x:f>IF(ISNUMBER(P38),IF(AND(P38&lt;Dashboard!$B$4,T38&lt;&gt;"Ready"),"Overdue","On track"),"No due date")</x:f>
        <x:v>No due date</x:v>
      </x:c>
    </x:row>
    <x:row r="39" ht="54" customHeight="1">
      <x:c r="A39" s="10" t="str">
        <x:v>REG</x:v>
      </x:c>
      <x:c r="B39" s="10" t="str">
        <x:v>REG-GAP-02</x:v>
      </x:c>
      <x:c r="C39" s="10" t="str">
        <x:v>Data / metrics</x:v>
      </x:c>
      <x:c r="D39" s="10" t="str">
        <x:v>Operating comparability</x:v>
      </x:c>
      <x:c r="E39" s="10" t="str">
        <x:v>All 220 restaurants report six months; operating days and closures are unknown.</x:v>
      </x:c>
      <x:c r="F39" s="10" t="str">
        <x:v>regional_sales_tableau_aligned.csv; Analysis/data_profile.json; SQL/Q01-Q05; Local_System/server.py</x:v>
      </x:c>
      <x:c r="G39" s="10" t="str">
        <x:v>Add operating calendar and comparable-store flags.</x:v>
      </x:c>
      <x:c r="H39" s="10" t="str">
        <x:v>Complete rows do not establish comparable store performance.</x:v>
      </x:c>
      <x:c r="I39" s="10" t="str">
        <x:v>P2 - capability improvement</x:v>
      </x:c>
      <x:c r="J39" s="10" t="str">
        <x:v>Sales Operations Manager</x:v>
      </x:c>
      <x:c r="K39" s="10" t="str">
        <x:v>REG-REQ-05</x:v>
      </x:c>
      <x:c r="L39" s="10" t="str">
        <x:v>Obtain monthly targets, store operating calendar, closures, currency, comparable-store flags, costs, and prior-year sales before extending performance conclusions.</x:v>
      </x:c>
      <x:c r="M39" s="10" t="str">
        <x:v>Add operating calendar and comparable-store flags.</x:v>
      </x:c>
      <x:c r="N39" s="10" t="str">
        <x:v>Managers approve comparability flags and missing/closed-store test cases.</x:v>
      </x:c>
      <x:c r="O39" s="11" t="str">
        <x:v>Open</x:v>
      </x:c>
      <x:c r="P39" s="12" t="str"/>
      <x:c r="Q39" s="11" t="str"/>
      <x:c r="R39" s="11" t="str"/>
      <x:c r="S39" s="12" t="str"/>
      <x:c r="T39" s="13" t="str">
        <x:f>IF(O39&lt;&gt;"Closed","Open",IF(AND(LEN(Q39)&gt;0,LEN(R39)&gt;0,ISNUMBER(S39)),"Ready","Missing closure evidence"))</x:f>
        <x:v>Open</x:v>
      </x:c>
      <x:c r="U39" s="13" t="str">
        <x:f>IF(ISNUMBER(P39),IF(AND(P39&lt;Dashboard!$B$4,T39&lt;&gt;"Ready"),"Overdue","On track"),"No due date")</x:f>
        <x:v>No due date</x:v>
      </x:c>
    </x:row>
    <x:row r="40" ht="54" customHeight="1">
      <x:c r="A40" s="10" t="str">
        <x:v>REG</x:v>
      </x:c>
      <x:c r="B40" s="10" t="str">
        <x:v>REG-GAP-03</x:v>
      </x:c>
      <x:c r="C40" s="10" t="str">
        <x:v>Business process</x:v>
      </x:c>
      <x:c r="D40" s="10" t="str">
        <x:v>Effective-dated mapping</x:v>
      </x:c>
      <x:c r="E40" s="10" t="str">
        <x:v>Current restaurant-to-city/zone mapping is stable in this snapshot.</x:v>
      </x:c>
      <x:c r="F40" s="10" t="str">
        <x:v>regional_sales_tableau_aligned.csv; Analysis/data_profile.json; SQL/Q01-Q05; Local_System/server.py</x:v>
      </x:c>
      <x:c r="G40" s="10" t="str">
        <x:v>Define effective-dated mappings for future zone transfers.</x:v>
      </x:c>
      <x:c r="H40" s="10" t="str">
        <x:v>A future transfer may double-count sales or restrict the wrong users.</x:v>
      </x:c>
      <x:c r="I40" s="10" t="str">
        <x:v>P2 - capability improvement</x:v>
      </x:c>
      <x:c r="J40" s="10" t="str">
        <x:v>Sales Operations Manager</x:v>
      </x:c>
      <x:c r="K40" s="10" t="str">
        <x:v>REG-REQ-01</x:v>
      </x:c>
      <x:c r="L40" s="10" t="str">
        <x:v>Obtain monthly targets, store operating calendar, closures, currency, comparable-store flags, costs, and prior-year sales before extending performance conclusions.</x:v>
      </x:c>
      <x:c r="M40" s="10" t="str">
        <x:v>Define effective-dated mappings for future zone transfers.</x:v>
      </x:c>
      <x:c r="N40" s="10" t="str">
        <x:v>Mapping tests preserve total sales and assigned scope across transfer dates.</x:v>
      </x:c>
      <x:c r="O40" s="11" t="str">
        <x:v>Open</x:v>
      </x:c>
      <x:c r="P40" s="12" t="str"/>
      <x:c r="Q40" s="11" t="str"/>
      <x:c r="R40" s="11" t="str"/>
      <x:c r="S40" s="12" t="str"/>
      <x:c r="T40" s="13" t="str">
        <x:f>IF(O40&lt;&gt;"Closed","Open",IF(AND(LEN(Q40)&gt;0,LEN(R40)&gt;0,ISNUMBER(S40)),"Ready","Missing closure evidence"))</x:f>
        <x:v>Open</x:v>
      </x:c>
      <x:c r="U40" s="13" t="str">
        <x:f>IF(ISNUMBER(P40),IF(AND(P40&lt;Dashboard!$B$4,T40&lt;&gt;"Ready"),"Overdue","On track"),"No due date")</x:f>
        <x:v>No due date</x:v>
      </x:c>
    </x:row>
    <x:row r="41" ht="54" customHeight="1">
      <x:c r="A41" s="10" t="str">
        <x:v>REG</x:v>
      </x:c>
      <x:c r="B41" s="10" t="str">
        <x:v>REG-GAP-04</x:v>
      </x:c>
      <x:c r="C41" s="10" t="str">
        <x:v>Technology</x:v>
      </x:c>
      <x:c r="D41" s="10" t="str">
        <x:v>BI certification</x:v>
      </x:c>
      <x:c r="E41" s="10" t="str">
        <x:v>The local dashboard recalculates filters and exposes lineage. Historical PBIX/TWB files are unverified.</x:v>
      </x:c>
      <x:c r="F41" s="10" t="str">
        <x:v>regional_sales_tableau_aligned.csv; Analysis/data_profile.json; SQL/Q01-Q05; Local_System/server.py</x:v>
      </x:c>
      <x:c r="G41" s="10" t="str">
        <x:v>Rebuild the native semantic model and verify filters, measures, accessibility, and exports.</x:v>
      </x:c>
      <x:c r="H41" s="10" t="str">
        <x:v>A historical native dashboard may differ from canonical SQL.</x:v>
      </x:c>
      <x:c r="I41" s="10" t="str">
        <x:v>P2 - capability improvement</x:v>
      </x:c>
      <x:c r="J41" s="10" t="str">
        <x:v>BI Engineer</x:v>
      </x:c>
      <x:c r="K41" s="10" t="str">
        <x:v>REG-REQ-02</x:v>
      </x:c>
      <x:c r="L41" s="10" t="str">
        <x:v>Approved platform, accountable owner, and representative environment</x:v>
      </x:c>
      <x:c r="M41" s="10" t="str">
        <x:v>Rebuild the native semantic model and verify filters, measures, accessibility, and exports.</x:v>
      </x:c>
      <x:c r="N41" s="10" t="str">
        <x:v>Native measure totals reconcile to Q01-Q05 and interactive/access test evidence is retained.</x:v>
      </x:c>
      <x:c r="O41" s="11" t="str">
        <x:v>Open</x:v>
      </x:c>
      <x:c r="P41" s="12" t="str"/>
      <x:c r="Q41" s="11" t="str"/>
      <x:c r="R41" s="11" t="str"/>
      <x:c r="S41" s="12" t="str"/>
      <x:c r="T41" s="13" t="str">
        <x:f>IF(O41&lt;&gt;"Closed","Open",IF(AND(LEN(Q41)&gt;0,LEN(R41)&gt;0,ISNUMBER(S41)),"Ready","Missing closure evidence"))</x:f>
        <x:v>Open</x:v>
      </x:c>
      <x:c r="U41" s="13" t="str">
        <x:f>IF(ISNUMBER(P41),IF(AND(P41&lt;Dashboard!$B$4,T41&lt;&gt;"Ready"),"Overdue","On track"),"No due date")</x:f>
        <x:v>No due date</x:v>
      </x:c>
    </x:row>
    <x:row r="42" ht="54" customHeight="1">
      <x:c r="A42" s="10" t="str">
        <x:v>REG</x:v>
      </x:c>
      <x:c r="B42" s="10" t="str">
        <x:v>REG-GAP-05</x:v>
      </x:c>
      <x:c r="C42" s="10" t="str">
        <x:v>Security / controls</x:v>
      </x:c>
      <x:c r="D42" s="10" t="str">
        <x:v>Production access</x:v>
      </x:c>
      <x:c r="E42" s="10" t="str">
        <x:v>Local accounts and backend role checks are implemented. Enterprise SSO and business-scope RLS are absent.</x:v>
      </x:c>
      <x:c r="F42" s="10" t="str">
        <x:v>regional_sales_tableau_aligned.csv; Analysis/data_profile.json; SQL/Q01-Q05; Local_System/server.py</x:v>
      </x:c>
      <x:c r="G42" s="10" t="str">
        <x:v>Configure approved identity, least-privilege business scope, export policy, and revoked-access behavior.</x:v>
      </x:c>
      <x:c r="H42" s="10" t="str">
        <x:v>Local account controls do not establish enterprise deployment readiness.</x:v>
      </x:c>
      <x:c r="I42" s="10" t="str">
        <x:v>P1 - release control</x:v>
      </x:c>
      <x:c r="J42" s="10" t="str">
        <x:v>Security / Control Reviewer</x:v>
      </x:c>
      <x:c r="K42" s="10" t="str">
        <x:v>REG-REQ-08</x:v>
      </x:c>
      <x:c r="L42" s="10" t="str">
        <x:v>Approved platform, accountable owner, and representative environment</x:v>
      </x:c>
      <x:c r="M42" s="10" t="str">
        <x:v>Configure approved identity, least-privilege business scope, export policy, and revoked-access behavior.</x:v>
      </x:c>
      <x:c r="N42" s="10" t="str">
        <x:v>Positive/negative scope tests, revocation, and export checks pass in the chosen environment.</x:v>
      </x:c>
      <x:c r="O42" s="11" t="str">
        <x:v>Open</x:v>
      </x:c>
      <x:c r="P42" s="12" t="str"/>
      <x:c r="Q42" s="11" t="str"/>
      <x:c r="R42" s="11" t="str"/>
      <x:c r="S42" s="12" t="str"/>
      <x:c r="T42" s="13" t="str">
        <x:f>IF(O42&lt;&gt;"Closed","Open",IF(AND(LEN(Q42)&gt;0,LEN(R42)&gt;0,ISNUMBER(S42)),"Ready","Missing closure evidence"))</x:f>
        <x:v>Open</x:v>
      </x:c>
      <x:c r="U42" s="13" t="str">
        <x:f>IF(ISNUMBER(P42),IF(AND(P42&lt;Dashboard!$B$4,T42&lt;&gt;"Ready"),"Overdue","On track"),"No due date")</x:f>
        <x:v>No due date</x:v>
      </x:c>
    </x:row>
    <x:row r="43" ht="54" customHeight="1">
      <x:c r="A43" s="10" t="str">
        <x:v>REG</x:v>
      </x:c>
      <x:c r="B43" s="10" t="str">
        <x:v>REG-GAP-06</x:v>
      </x:c>
      <x:c r="C43" s="10" t="str">
        <x:v>People / acceptance</x:v>
      </x:c>
      <x:c r="D43" s="10" t="str">
        <x:v>Business acceptance</x:v>
      </x:c>
      <x:c r="E43" s="10" t="str">
        <x:v>144 planned UAT cases are seeded Not executed. The app records executions, evidence, and independent reviews.</x:v>
      </x:c>
      <x:c r="F43" s="10" t="str">
        <x:v>regional_sales_tableau_aligned.csv; Analysis/data_profile.json; SQL/Q01-Q05; Local_System/server.py</x:v>
      </x:c>
      <x:c r="G43" s="10" t="str">
        <x:v>Execute representative tasks with actual business reviewers and resolve defects.</x:v>
      </x:c>
      <x:c r="H43" s="10" t="str">
        <x:v>A technical pass does not establish user acceptance.</x:v>
      </x:c>
      <x:c r="I43" s="10" t="str">
        <x:v>P1 - release control</x:v>
      </x:c>
      <x:c r="J43" s="10" t="str">
        <x:v>Sales Operations Manager</x:v>
      </x:c>
      <x:c r="K43" s="10" t="str">
        <x:v>REG-REQ-04</x:v>
      </x:c>
      <x:c r="L43" s="10" t="str">
        <x:v>Approved platform, accountable owner, and representative environment</x:v>
      </x:c>
      <x:c r="M43" s="10" t="str">
        <x:v>Execute representative tasks with actual business reviewers and resolve defects.</x:v>
      </x:c>
      <x:c r="N43" s="10" t="str">
        <x:v>Actual UAT evidence, reviewer identity, defect dispositions, and sponsor decision are recorded.</x:v>
      </x:c>
      <x:c r="O43" s="11" t="str">
        <x:v>Open</x:v>
      </x:c>
      <x:c r="P43" s="12" t="str"/>
      <x:c r="Q43" s="11" t="str"/>
      <x:c r="R43" s="11" t="str"/>
      <x:c r="S43" s="12" t="str"/>
      <x:c r="T43" s="13" t="str">
        <x:f>IF(O43&lt;&gt;"Closed","Open",IF(AND(LEN(Q43)&gt;0,LEN(R43)&gt;0,ISNUMBER(S43)),"Ready","Missing closure evidence"))</x:f>
        <x:v>Open</x:v>
      </x:c>
      <x:c r="U43" s="13" t="str">
        <x:f>IF(ISNUMBER(P43),IF(AND(P43&lt;Dashboard!$B$4,T43&lt;&gt;"Ready"),"Overdue","On track"),"No due date")</x:f>
        <x:v>No due date</x:v>
      </x:c>
    </x:row>
    <x:row r="44" ht="54" customHeight="1">
      <x:c r="A44" s="10" t="str">
        <x:v>REG</x:v>
      </x:c>
      <x:c r="B44" s="10" t="str">
        <x:v>REG-GAP-07</x:v>
      </x:c>
      <x:c r="C44" s="10" t="str">
        <x:v>Operations</x:v>
      </x:c>
      <x:c r="D44" s="10" t="str">
        <x:v>Operational scheduling</x:v>
      </x:c>
      <x:c r="E44" s="10" t="str">
        <x:v>Admin can refresh sources transactionally; hashes and refresh runs persist. Unattended scheduling is external.</x:v>
      </x:c>
      <x:c r="F44" s="10" t="str">
        <x:v>regional_sales_tableau_aligned.csv; Analysis/data_profile.json; SQL/Q01-Q05; Local_System/server.py</x:v>
      </x:c>
      <x:c r="G44" s="10" t="str">
        <x:v>Agree refresh frequency, monitoring owner, retention, backup, and rollback expectations.</x:v>
      </x:c>
      <x:c r="H44" s="10" t="str">
        <x:v>A failed upstream export may leave stale reporting without agreed escalation.</x:v>
      </x:c>
      <x:c r="I44" s="10" t="str">
        <x:v>P2 - capability improvement</x:v>
      </x:c>
      <x:c r="J44" s="10" t="str">
        <x:v>Operations Owner</x:v>
      </x:c>
      <x:c r="K44" s="10" t="str">
        <x:v>REG-REQ-01</x:v>
      </x:c>
      <x:c r="L44" s="10" t="str">
        <x:v>Approved platform, accountable owner, and representative environment</x:v>
      </x:c>
      <x:c r="M44" s="10" t="str">
        <x:v>Agree refresh frequency, monitoring owner, retention, backup, and rollback expectations.</x:v>
      </x:c>
      <x:c r="N44" s="10" t="str">
        <x:v>Scheduled run and failure alert are exercised; restore a backup and reconcile controls.</x:v>
      </x:c>
      <x:c r="O44" s="11" t="str">
        <x:v>Open</x:v>
      </x:c>
      <x:c r="P44" s="12" t="str"/>
      <x:c r="Q44" s="11" t="str"/>
      <x:c r="R44" s="11" t="str"/>
      <x:c r="S44" s="12" t="str"/>
      <x:c r="T44" s="13" t="str">
        <x:f>IF(O44&lt;&gt;"Closed","Open",IF(AND(LEN(Q44)&gt;0,LEN(R44)&gt;0,ISNUMBER(S44)),"Ready","Missing closure evidence"))</x:f>
        <x:v>Open</x:v>
      </x:c>
      <x:c r="U44" s="13" t="str">
        <x:f>IF(ISNUMBER(P44),IF(AND(P44&lt;Dashboard!$B$4,T44&lt;&gt;"Ready"),"Overdue","On track"),"No due date")</x:f>
        <x:v>No due date</x:v>
      </x:c>
    </x:row>
    <x:row r="45" ht="54" customHeight="1">
      <x:c r="A45" s="10" t="str">
        <x:v>REG</x:v>
      </x:c>
      <x:c r="B45" s="10" t="str">
        <x:v>REG-GAP-08</x:v>
      </x:c>
      <x:c r="C45" s="10" t="str">
        <x:v>Benefits</x:v>
      </x:c>
      <x:c r="D45" s="10" t="str">
        <x:v>Benefit baseline</x:v>
      </x:c>
      <x:c r="E45" s="10" t="str">
        <x:v>No measured production reporting time, task success, or adoption baseline exists.</x:v>
      </x:c>
      <x:c r="F45" s="10" t="str">
        <x:v>regional_sales_tableau_aligned.csv; Analysis/data_profile.json; SQL/Q01-Q05; Local_System/server.py</x:v>
      </x:c>
      <x:c r="G45" s="10" t="str">
        <x:v>Collect comparable baseline and pilot measurements before claiming benefits.</x:v>
      </x:c>
      <x:c r="H45" s="10" t="str">
        <x:v>No realized time saving, uplift, or forecast improvement can be asserted.</x:v>
      </x:c>
      <x:c r="I45" s="10" t="str">
        <x:v>P2 - capability improvement</x:v>
      </x:c>
      <x:c r="J45" s="10" t="str">
        <x:v>Sales Operations Manager</x:v>
      </x:c>
      <x:c r="K45" s="10" t="str">
        <x:v>REG-REQ-05</x:v>
      </x:c>
      <x:c r="L45" s="10" t="str">
        <x:v>Approved platform, accountable owner, and representative environment</x:v>
      </x:c>
      <x:c r="M45" s="10" t="str">
        <x:v>Collect comparable baseline and pilot measurements before claiming benefits.</x:v>
      </x:c>
      <x:c r="N45" s="10" t="str">
        <x:v>Baseline and pilot measures include comparable populations, sample sizes, and uncertainty.</x:v>
      </x:c>
      <x:c r="O45" s="11" t="str">
        <x:v>Open</x:v>
      </x:c>
      <x:c r="P45" s="12" t="str"/>
      <x:c r="Q45" s="11" t="str"/>
      <x:c r="R45" s="11" t="str"/>
      <x:c r="S45" s="12" t="str"/>
      <x:c r="T45" s="13" t="str">
        <x:f>IF(O45&lt;&gt;"Closed","Open",IF(AND(LEN(Q45)&gt;0,LEN(R45)&gt;0,ISNUMBER(S45)),"Ready","Missing closure evidence"))</x:f>
        <x:v>Open</x:v>
      </x:c>
      <x:c r="U45" s="13" t="str">
        <x:f>IF(ISNUMBER(P45),IF(AND(P45&lt;Dashboard!$B$4,T45&lt;&gt;"Ready"),"Overdue","On track"),"No due date")</x:f>
        <x:v>No due date</x:v>
      </x:c>
    </x:row>
    <x:row r="46" ht="54" customHeight="1">
      <x:c r="A46" s="10" t="str">
        <x:v>CRM</x:v>
      </x:c>
      <x:c r="B46" s="10" t="str">
        <x:v>CRM-GAP-01</x:v>
      </x:c>
      <x:c r="C46" s="10" t="str">
        <x:v>Data</x:v>
      </x:c>
      <x:c r="D46" s="10" t="str">
        <x:v>Forecast timing</x:v>
      </x:c>
      <x:c r="E46" s="10" t="str">
        <x:v>Ten opportunity records have no close/snapshot dates or stage history.</x:v>
      </x:c>
      <x:c r="F46" s="10" t="str">
        <x:v>pipeline.csv; Analysis/data_profile.json; SQL/Q01-Q05; Local_System/server.py</x:v>
      </x:c>
      <x:c r="G46" s="10" t="str">
        <x:v>Add dated snapshots, expected close dates, and history before forecasting timing.</x:v>
      </x:c>
      <x:c r="H46" s="10" t="str">
        <x:v>Velocity, time-bounded forecast, and historical win rate cannot be established.</x:v>
      </x:c>
      <x:c r="I46" s="10" t="str">
        <x:v>P1 - release control</x:v>
      </x:c>
      <x:c r="J46" s="10" t="str">
        <x:v>Sales Operations Manager</x:v>
      </x:c>
      <x:c r="K46" s="10" t="str">
        <x:v>CRM-REQ-06</x:v>
      </x:c>
      <x:c r="L46" s="10" t="str">
        <x:v>Add snapshot_date, owner_id, created_date, expected_close_date, stage_history, loss_reason, account_id, and approved probability policy before time-bounded forecasting.</x:v>
      </x:c>
      <x:c r="M46" s="10" t="str">
        <x:v>Add dated snapshots, expected close dates, and history before forecasting timing.</x:v>
      </x:c>
      <x:c r="N46" s="10" t="str">
        <x:v>Date/history fields are validated and the forecast cohort is documented.</x:v>
      </x:c>
      <x:c r="O46" s="11" t="str">
        <x:v>Open</x:v>
      </x:c>
      <x:c r="P46" s="12" t="str"/>
      <x:c r="Q46" s="11" t="str"/>
      <x:c r="R46" s="11" t="str"/>
      <x:c r="S46" s="12" t="str"/>
      <x:c r="T46" s="13" t="str">
        <x:f>IF(O46&lt;&gt;"Closed","Open",IF(AND(LEN(Q46)&gt;0,LEN(R46)&gt;0,ISNUMBER(S46)),"Ready","Missing closure evidence"))</x:f>
        <x:v>Open</x:v>
      </x:c>
      <x:c r="U46" s="13" t="str">
        <x:f>IF(ISNUMBER(P46),IF(AND(P46&lt;Dashboard!$B$4,T46&lt;&gt;"Ready"),"Overdue","On track"),"No due date")</x:f>
        <x:v>No due date</x:v>
      </x:c>
    </x:row>
    <x:row r="47" ht="54" customHeight="1">
      <x:c r="A47" s="10" t="str">
        <x:v>CRM</x:v>
      </x:c>
      <x:c r="B47" s="10" t="str">
        <x:v>CRM-GAP-02</x:v>
      </x:c>
      <x:c r="C47" s="10" t="str">
        <x:v>Data / metrics</x:v>
      </x:c>
      <x:c r="D47" s="10" t="str">
        <x:v>Probability calibration</x:v>
      </x:c>
      <x:c r="E47" s="10" t="str">
        <x:v>Stage probabilities are supplied, not calibrated to historical outcomes.</x:v>
      </x:c>
      <x:c r="F47" s="10" t="str">
        <x:v>pipeline.csv; Analysis/data_profile.json; SQL/Q01-Q05; Local_System/server.py</x:v>
      </x:c>
      <x:c r="G47" s="10" t="str">
        <x:v>Review stage policy and calibrate on approved history.</x:v>
      </x:c>
      <x:c r="H47" s="10" t="str">
        <x:v>Weighted open value is a scenario rather than a validated forecast.</x:v>
      </x:c>
      <x:c r="I47" s="10" t="str">
        <x:v>P2 - capability improvement</x:v>
      </x:c>
      <x:c r="J47" s="10" t="str">
        <x:v>Sales Operations Manager</x:v>
      </x:c>
      <x:c r="K47" s="10" t="str">
        <x:v>CRM-REQ-03</x:v>
      </x:c>
      <x:c r="L47" s="10" t="str">
        <x:v>Add snapshot_date, owner_id, created_date, expected_close_date, stage_history, loss_reason, account_id, and approved probability policy before time-bounded forecasting.</x:v>
      </x:c>
      <x:c r="M47" s="10" t="str">
        <x:v>Review stage policy and calibrate on approved history.</x:v>
      </x:c>
      <x:c r="N47" s="10" t="str">
        <x:v>Sales Ops approves policy; hold-out evaluation and closed-stage rules pass.</x:v>
      </x:c>
      <x:c r="O47" s="11" t="str">
        <x:v>Open</x:v>
      </x:c>
      <x:c r="P47" s="12" t="str"/>
      <x:c r="Q47" s="11" t="str"/>
      <x:c r="R47" s="11" t="str"/>
      <x:c r="S47" s="12" t="str"/>
      <x:c r="T47" s="13" t="str">
        <x:f>IF(O47&lt;&gt;"Closed","Open",IF(AND(LEN(Q47)&gt;0,LEN(R47)&gt;0,ISNUMBER(S47)),"Ready","Missing closure evidence"))</x:f>
        <x:v>Open</x:v>
      </x:c>
      <x:c r="U47" s="13" t="str">
        <x:f>IF(ISNUMBER(P47),IF(AND(P47&lt;Dashboard!$B$4,T47&lt;&gt;"Ready"),"Overdue","On track"),"No due date")</x:f>
        <x:v>No due date</x:v>
      </x:c>
    </x:row>
    <x:row r="48" ht="54" customHeight="1">
      <x:c r="A48" s="10" t="str">
        <x:v>CRM</x:v>
      </x:c>
      <x:c r="B48" s="10" t="str">
        <x:v>CRM-GAP-03</x:v>
      </x:c>
      <x:c r="C48" s="10" t="str">
        <x:v>Business process</x:v>
      </x:c>
      <x:c r="D48" s="10" t="str">
        <x:v>Native CRM rules</x:v>
      </x:c>
      <x:c r="E48" s="10" t="str">
        <x:v>Local fixtures validate stage/probability; Salesforce is not configured.</x:v>
      </x:c>
      <x:c r="F48" s="10" t="str">
        <x:v>pipeline.csv; Analysis/data_profile.json; SQL/Q01-Q05; Local_System/server.py</x:v>
      </x:c>
      <x:c r="G48" s="10" t="str">
        <x:v>Implement mandatory close fields and validation in a Salesforce sandbox.</x:v>
      </x:c>
      <x:c r="H48" s="10" t="str">
        <x:v>The live CRM could still accept invalid stage/probability combinations.</x:v>
      </x:c>
      <x:c r="I48" s="10" t="str">
        <x:v>P2 - capability improvement</x:v>
      </x:c>
      <x:c r="J48" s="10" t="str">
        <x:v>Sales Operations Manager</x:v>
      </x:c>
      <x:c r="K48" s="10" t="str">
        <x:v>CRM-REQ-07</x:v>
      </x:c>
      <x:c r="L48" s="10" t="str">
        <x:v>Add snapshot_date, owner_id, created_date, expected_close_date, stage_history, loss_reason, account_id, and approved probability policy before time-bounded forecasting.</x:v>
      </x:c>
      <x:c r="M48" s="10" t="str">
        <x:v>Implement mandatory close fields and validation in a Salesforce sandbox.</x:v>
      </x:c>
      <x:c r="N48" s="10" t="str">
        <x:v>Sandbox tests block Closed Won below 1 and Closed Lost above 0; retain screenshots/logs.</x:v>
      </x:c>
      <x:c r="O48" s="11" t="str">
        <x:v>Open</x:v>
      </x:c>
      <x:c r="P48" s="12" t="str"/>
      <x:c r="Q48" s="11" t="str"/>
      <x:c r="R48" s="11" t="str"/>
      <x:c r="S48" s="12" t="str"/>
      <x:c r="T48" s="13" t="str">
        <x:f>IF(O48&lt;&gt;"Closed","Open",IF(AND(LEN(Q48)&gt;0,LEN(R48)&gt;0,ISNUMBER(S48)),"Ready","Missing closure evidence"))</x:f>
        <x:v>Open</x:v>
      </x:c>
      <x:c r="U48" s="13" t="str">
        <x:f>IF(ISNUMBER(P48),IF(AND(P48&lt;Dashboard!$B$4,T48&lt;&gt;"Ready"),"Overdue","On track"),"No due date")</x:f>
        <x:v>No due date</x:v>
      </x:c>
    </x:row>
    <x:row r="49" ht="40" customHeight="1">
      <x:c r="A49" s="10" t="str">
        <x:v>CRM</x:v>
      </x:c>
      <x:c r="B49" s="10" t="str">
        <x:v>CRM-GAP-04</x:v>
      </x:c>
      <x:c r="C49" s="10" t="str">
        <x:v>Technology</x:v>
      </x:c>
      <x:c r="D49" s="10" t="str">
        <x:v>BI certification</x:v>
      </x:c>
      <x:c r="E49" s="10" t="str">
        <x:v>The local dashboard recalculates filters and exposes lineage. Historical PBIX/TWB files are unverified.</x:v>
      </x:c>
      <x:c r="F49" s="10" t="str">
        <x:v>pipeline.csv; Analysis/data_profile.json; SQL/Q01-Q05; Local_System/server.py</x:v>
      </x:c>
      <x:c r="G49" s="10" t="str">
        <x:v>Rebuild the native semantic model and verify filters, measures, accessibility, and exports.</x:v>
      </x:c>
      <x:c r="H49" s="10" t="str">
        <x:v>A historical native dashboard may differ from canonical SQL.</x:v>
      </x:c>
      <x:c r="I49" s="10" t="str">
        <x:v>P2 - capability improvement</x:v>
      </x:c>
      <x:c r="J49" s="10" t="str">
        <x:v>BI Engineer</x:v>
      </x:c>
      <x:c r="K49" s="10" t="str">
        <x:v>CRM-REQ-02</x:v>
      </x:c>
      <x:c r="L49" s="10" t="str">
        <x:v>Approved platform, accountable owner, and representative environment</x:v>
      </x:c>
      <x:c r="M49" s="10" t="str">
        <x:v>Rebuild the native semantic model and verify filters, measures, accessibility, and exports.</x:v>
      </x:c>
      <x:c r="N49" s="10" t="str">
        <x:v>Native measure totals reconcile to Q01-Q05 and interactive/access test evidence is retained.</x:v>
      </x:c>
      <x:c r="O49" s="11" t="str">
        <x:v>Open</x:v>
      </x:c>
      <x:c r="P49" s="12" t="str"/>
      <x:c r="Q49" s="11" t="str"/>
      <x:c r="R49" s="11" t="str"/>
      <x:c r="S49" s="12" t="str"/>
      <x:c r="T49" s="13" t="str">
        <x:f>IF(O49&lt;&gt;"Closed","Open",IF(AND(LEN(Q49)&gt;0,LEN(R49)&gt;0,ISNUMBER(S49)),"Ready","Missing closure evidence"))</x:f>
        <x:v>Open</x:v>
      </x:c>
      <x:c r="U49" s="13" t="str">
        <x:f>IF(ISNUMBER(P49),IF(AND(P49&lt;Dashboard!$B$4,T49&lt;&gt;"Ready"),"Overdue","On track"),"No due date")</x:f>
        <x:v>No due date</x:v>
      </x:c>
    </x:row>
    <x:row r="50" ht="40" customHeight="1">
      <x:c r="A50" s="10" t="str">
        <x:v>CRM</x:v>
      </x:c>
      <x:c r="B50" s="10" t="str">
        <x:v>CRM-GAP-05</x:v>
      </x:c>
      <x:c r="C50" s="10" t="str">
        <x:v>Security / controls</x:v>
      </x:c>
      <x:c r="D50" s="10" t="str">
        <x:v>Production access</x:v>
      </x:c>
      <x:c r="E50" s="10" t="str">
        <x:v>Local accounts and backend role checks are implemented. Enterprise SSO and business-scope RLS are absent.</x:v>
      </x:c>
      <x:c r="F50" s="10" t="str">
        <x:v>pipeline.csv; Analysis/data_profile.json; SQL/Q01-Q05; Local_System/server.py</x:v>
      </x:c>
      <x:c r="G50" s="10" t="str">
        <x:v>Configure approved identity, least-privilege business scope, export policy, and revoked-access behavior.</x:v>
      </x:c>
      <x:c r="H50" s="10" t="str">
        <x:v>Local account controls do not establish enterprise deployment readiness.</x:v>
      </x:c>
      <x:c r="I50" s="10" t="str">
        <x:v>P1 - release control</x:v>
      </x:c>
      <x:c r="J50" s="10" t="str">
        <x:v>Security / Control Reviewer</x:v>
      </x:c>
      <x:c r="K50" s="10" t="str">
        <x:v>CRM-REQ-08</x:v>
      </x:c>
      <x:c r="L50" s="10" t="str">
        <x:v>Approved platform, accountable owner, and representative environment</x:v>
      </x:c>
      <x:c r="M50" s="10" t="str">
        <x:v>Configure approved identity, least-privilege business scope, export policy, and revoked-access behavior.</x:v>
      </x:c>
      <x:c r="N50" s="10" t="str">
        <x:v>Positive/negative scope tests, revocation, and export checks pass in the chosen environment.</x:v>
      </x:c>
      <x:c r="O50" s="11" t="str">
        <x:v>Open</x:v>
      </x:c>
      <x:c r="P50" s="12" t="str"/>
      <x:c r="Q50" s="11" t="str"/>
      <x:c r="R50" s="11" t="str"/>
      <x:c r="S50" s="12" t="str"/>
      <x:c r="T50" s="13" t="str">
        <x:f>IF(O50&lt;&gt;"Closed","Open",IF(AND(LEN(Q50)&gt;0,LEN(R50)&gt;0,ISNUMBER(S50)),"Ready","Missing closure evidence"))</x:f>
        <x:v>Open</x:v>
      </x:c>
      <x:c r="U50" s="13" t="str">
        <x:f>IF(ISNUMBER(P50),IF(AND(P50&lt;Dashboard!$B$4,T50&lt;&gt;"Ready"),"Overdue","On track"),"No due date")</x:f>
        <x:v>No due date</x:v>
      </x:c>
    </x:row>
    <x:row r="51" ht="40" customHeight="1">
      <x:c r="A51" s="10" t="str">
        <x:v>CRM</x:v>
      </x:c>
      <x:c r="B51" s="10" t="str">
        <x:v>CRM-GAP-06</x:v>
      </x:c>
      <x:c r="C51" s="10" t="str">
        <x:v>People / acceptance</x:v>
      </x:c>
      <x:c r="D51" s="10" t="str">
        <x:v>Business acceptance</x:v>
      </x:c>
      <x:c r="E51" s="10" t="str">
        <x:v>144 planned UAT cases are seeded Not executed. The app records executions, evidence, and independent reviews.</x:v>
      </x:c>
      <x:c r="F51" s="10" t="str">
        <x:v>pipeline.csv; Analysis/data_profile.json; SQL/Q01-Q05; Local_System/server.py</x:v>
      </x:c>
      <x:c r="G51" s="10" t="str">
        <x:v>Execute representative tasks with actual business reviewers and resolve defects.</x:v>
      </x:c>
      <x:c r="H51" s="10" t="str">
        <x:v>A technical pass does not establish user acceptance.</x:v>
      </x:c>
      <x:c r="I51" s="10" t="str">
        <x:v>P1 - release control</x:v>
      </x:c>
      <x:c r="J51" s="10" t="str">
        <x:v>Sales Operations Manager</x:v>
      </x:c>
      <x:c r="K51" s="10" t="str">
        <x:v>CRM-REQ-04</x:v>
      </x:c>
      <x:c r="L51" s="10" t="str">
        <x:v>Approved platform, accountable owner, and representative environment</x:v>
      </x:c>
      <x:c r="M51" s="10" t="str">
        <x:v>Execute representative tasks with actual business reviewers and resolve defects.</x:v>
      </x:c>
      <x:c r="N51" s="10" t="str">
        <x:v>Actual UAT evidence, reviewer identity, defect dispositions, and sponsor decision are recorded.</x:v>
      </x:c>
      <x:c r="O51" s="11" t="str">
        <x:v>Open</x:v>
      </x:c>
      <x:c r="P51" s="12" t="str"/>
      <x:c r="Q51" s="11" t="str"/>
      <x:c r="R51" s="11" t="str"/>
      <x:c r="S51" s="12" t="str"/>
      <x:c r="T51" s="13" t="str">
        <x:f>IF(O51&lt;&gt;"Closed","Open",IF(AND(LEN(Q51)&gt;0,LEN(R51)&gt;0,ISNUMBER(S51)),"Ready","Missing closure evidence"))</x:f>
        <x:v>Open</x:v>
      </x:c>
      <x:c r="U51" s="13" t="str">
        <x:f>IF(ISNUMBER(P51),IF(AND(P51&lt;Dashboard!$B$4,T51&lt;&gt;"Ready"),"Overdue","On track"),"No due date")</x:f>
        <x:v>No due date</x:v>
      </x:c>
    </x:row>
    <x:row r="52" ht="40" customHeight="1">
      <x:c r="A52" s="10" t="str">
        <x:v>CRM</x:v>
      </x:c>
      <x:c r="B52" s="10" t="str">
        <x:v>CRM-GAP-07</x:v>
      </x:c>
      <x:c r="C52" s="10" t="str">
        <x:v>Operations</x:v>
      </x:c>
      <x:c r="D52" s="10" t="str">
        <x:v>Operational scheduling</x:v>
      </x:c>
      <x:c r="E52" s="10" t="str">
        <x:v>Admin can refresh sources transactionally; hashes and refresh runs persist. Unattended scheduling is external.</x:v>
      </x:c>
      <x:c r="F52" s="10" t="str">
        <x:v>pipeline.csv; Analysis/data_profile.json; SQL/Q01-Q05; Local_System/server.py</x:v>
      </x:c>
      <x:c r="G52" s="10" t="str">
        <x:v>Agree refresh frequency, monitoring owner, retention, backup, and rollback expectations.</x:v>
      </x:c>
      <x:c r="H52" s="10" t="str">
        <x:v>A failed upstream export may leave stale reporting without agreed escalation.</x:v>
      </x:c>
      <x:c r="I52" s="10" t="str">
        <x:v>P2 - capability improvement</x:v>
      </x:c>
      <x:c r="J52" s="10" t="str">
        <x:v>Operations Owner</x:v>
      </x:c>
      <x:c r="K52" s="10" t="str">
        <x:v>CRM-REQ-01</x:v>
      </x:c>
      <x:c r="L52" s="10" t="str">
        <x:v>Approved platform, accountable owner, and representative environment</x:v>
      </x:c>
      <x:c r="M52" s="10" t="str">
        <x:v>Agree refresh frequency, monitoring owner, retention, backup, and rollback expectations.</x:v>
      </x:c>
      <x:c r="N52" s="10" t="str">
        <x:v>Scheduled run and failure alert are exercised; restore a backup and reconcile controls.</x:v>
      </x:c>
      <x:c r="O52" s="11" t="str">
        <x:v>Open</x:v>
      </x:c>
      <x:c r="P52" s="12" t="str"/>
      <x:c r="Q52" s="11" t="str"/>
      <x:c r="R52" s="11" t="str"/>
      <x:c r="S52" s="12" t="str"/>
      <x:c r="T52" s="13" t="str">
        <x:f>IF(O52&lt;&gt;"Closed","Open",IF(AND(LEN(Q52)&gt;0,LEN(R52)&gt;0,ISNUMBER(S52)),"Ready","Missing closure evidence"))</x:f>
        <x:v>Open</x:v>
      </x:c>
      <x:c r="U52" s="13" t="str">
        <x:f>IF(ISNUMBER(P52),IF(AND(P52&lt;Dashboard!$B$4,T52&lt;&gt;"Ready"),"Overdue","On track"),"No due date")</x:f>
        <x:v>No due date</x:v>
      </x:c>
    </x:row>
    <x:row r="53" ht="40" customHeight="1">
      <x:c r="A53" s="10" t="str">
        <x:v>CRM</x:v>
      </x:c>
      <x:c r="B53" s="10" t="str">
        <x:v>CRM-GAP-08</x:v>
      </x:c>
      <x:c r="C53" s="10" t="str">
        <x:v>Benefits</x:v>
      </x:c>
      <x:c r="D53" s="10" t="str">
        <x:v>Benefit baseline</x:v>
      </x:c>
      <x:c r="E53" s="10" t="str">
        <x:v>No measured production reporting time, task success, or adoption baseline exists.</x:v>
      </x:c>
      <x:c r="F53" s="10" t="str">
        <x:v>pipeline.csv; Analysis/data_profile.json; SQL/Q01-Q05; Local_System/server.py</x:v>
      </x:c>
      <x:c r="G53" s="10" t="str">
        <x:v>Collect comparable baseline and pilot measurements before claiming benefits.</x:v>
      </x:c>
      <x:c r="H53" s="10" t="str">
        <x:v>No realized time saving, uplift, or forecast improvement can be asserted.</x:v>
      </x:c>
      <x:c r="I53" s="10" t="str">
        <x:v>P2 - capability improvement</x:v>
      </x:c>
      <x:c r="J53" s="10" t="str">
        <x:v>Sales Operations Manager</x:v>
      </x:c>
      <x:c r="K53" s="10" t="str">
        <x:v>CRM-REQ-05</x:v>
      </x:c>
      <x:c r="L53" s="10" t="str">
        <x:v>Approved platform, accountable owner, and representative environment</x:v>
      </x:c>
      <x:c r="M53" s="10" t="str">
        <x:v>Collect comparable baseline and pilot measurements before claiming benefits.</x:v>
      </x:c>
      <x:c r="N53" s="10" t="str">
        <x:v>Baseline and pilot measures include comparable populations, sample sizes, and uncertainty.</x:v>
      </x:c>
      <x:c r="O53" s="11" t="str">
        <x:v>Open</x:v>
      </x:c>
      <x:c r="P53" s="12" t="str"/>
      <x:c r="Q53" s="11" t="str"/>
      <x:c r="R53" s="11" t="str"/>
      <x:c r="S53" s="12" t="str"/>
      <x:c r="T53" s="13" t="str">
        <x:f>IF(O53&lt;&gt;"Closed","Open",IF(AND(LEN(Q53)&gt;0,LEN(R53)&gt;0,ISNUMBER(S53)),"Ready","Missing closure evidence"))</x:f>
        <x:v>Open</x:v>
      </x:c>
      <x:c r="U53" s="13" t="str">
        <x:f>IF(ISNUMBER(P53),IF(AND(P53&lt;Dashboard!$B$4,T53&lt;&gt;"Ready"),"Overdue","On track"),"No due date")</x:f>
        <x:v>No due date</x:v>
      </x:c>
    </x:row>
  </x:sheetData>
  <x:conditionalFormatting sqref="T6:T53">
    <x:cfRule type="containsText" dxfId="24" priority="1" operator="containsText" text="Missing"/>
    <x:cfRule type="containsText" dxfId="25" priority="2" operator="containsText" text="Blocked"/>
    <x:cfRule type="containsText" dxfId="26" priority="3" operator="containsText" text="Overdue"/>
    <x:cfRule type="containsText" dxfId="27" priority="4" operator="containsText" text="Invalid"/>
    <x:cfRule type="containsText" dxfId="28" priority="5" operator="containsText" text="Hold"/>
    <x:cfRule type="containsText" dxfId="29" priority="6" operator="containsText" text="Ready"/>
  </x:conditionalFormatting>
  <x:conditionalFormatting sqref="U6:U53">
    <x:cfRule type="containsText" dxfId="30" priority="7" operator="containsText" text="Missing"/>
    <x:cfRule type="containsText" dxfId="31" priority="8" operator="containsText" text="Blocked"/>
    <x:cfRule type="containsText" dxfId="32" priority="9" operator="containsText" text="Overdue"/>
    <x:cfRule type="containsText" dxfId="33" priority="10" operator="containsText" text="Invalid"/>
    <x:cfRule type="containsText" dxfId="34" priority="11" operator="containsText" text="Hold"/>
    <x:cfRule type="containsText" dxfId="35" priority="12" operator="containsText" text="Ready"/>
  </x:conditionalFormatting>
  <x:dataValidations count="1">
    <x:dataValidation type="list" sqref="O6:O53">
      <x:formula1>"Open,In progress,Proposed closure,Closed,Deferred"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972d4ecaef40f7"/>
  </x:tableParts>
</x:worksheet>
</file>

<file path=xl/worksheets/sheet5.xml><?xml version="1.0" encoding="utf-8"?>
<x:worksheet xmlns:x="http://schemas.openxmlformats.org/spreadsheetml/2006/main">
  <x:sheetPr>
    <x:tabColor rgb="FF1833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65" hidden="0" customWidth="1"/>
    <x:col min="5" max="5" width="20" hidden="0" customWidth="1"/>
    <x:col min="6" max="6" width="20" hidden="0" customWidth="1"/>
    <x:col min="7" max="7" width="30" hidden="0" customWidth="1"/>
    <x:col min="8" max="8" width="60" hidden="0" customWidth="1"/>
    <x:col min="9" max="9" width="55" hidden="0" customWidth="1"/>
    <x:col min="10" max="10" width="4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Risks, assumptions, issues and dependencies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0" customHeight="1">
      <x:c r="A5" s="8" t="str">
        <x:v>Project</x:v>
      </x:c>
      <x:c r="B5" s="8" t="str">
        <x:v>ID</x:v>
      </x:c>
      <x:c r="C5" s="8" t="str">
        <x:v>Type</x:v>
      </x:c>
      <x:c r="D5" s="8" t="str">
        <x:v>Description</x:v>
      </x:c>
      <x:c r="E5" s="8" t="str">
        <x:v>Impact</x:v>
      </x:c>
      <x:c r="F5" s="8" t="str">
        <x:v>Likelihood</x:v>
      </x:c>
      <x:c r="G5" s="8" t="str">
        <x:v>Owner</x:v>
      </x:c>
      <x:c r="H5" s="8" t="str">
        <x:v>Response</x:v>
      </x:c>
      <x:c r="I5" s="8" t="str">
        <x:v>Trigger</x:v>
      </x:c>
      <x:c r="J5" s="8" t="str">
        <x:v>Status</x:v>
      </x:c>
    </x:row>
    <x:row r="6" ht="40" customHeight="1">
      <x:c r="A6" s="10" t="str">
        <x:v>MKT</x:v>
      </x:c>
      <x:c r="B6" s="10" t="str">
        <x:v>MKT-R-01</x:v>
      </x:c>
      <x:c r="C6" s="10" t="str">
        <x:v>Risk</x:v>
      </x:c>
      <x:c r="D6" s="10" t="str">
        <x:v>GMV confused with revenue</x:v>
      </x:c>
      <x:c r="E6" s="10" t="str">
        <x:v>High</x:v>
      </x:c>
      <x:c r="F6" s="10" t="str">
        <x:v>Medium</x:v>
      </x:c>
      <x:c r="G6" s="10" t="str">
        <x:v>Marketplace Operations Manager</x:v>
      </x:c>
      <x:c r="H6" s="10" t="str">
        <x:v>Finance approves labels and tests the ratio of sums.</x:v>
      </x:c>
      <x:c r="I6" s="10" t="str">
        <x:v>Metric misinterpretation, missing source contract, or failed control test</x:v>
      </x:c>
      <x:c r="J6" s="10" t="str">
        <x:v>Open; mitigation specified</x:v>
      </x:c>
    </x:row>
    <x:row r="7" ht="40" customHeight="1">
      <x:c r="A7" s="10" t="str">
        <x:v>MKT</x:v>
      </x:c>
      <x:c r="B7" s="10" t="str">
        <x:v>MKT-R-02</x:v>
      </x:c>
      <x:c r="C7" s="10" t="str">
        <x:v>Risk</x:v>
      </x:c>
      <x:c r="D7" s="10" t="str">
        <x:v>No business transaction key</x:v>
      </x:c>
      <x:c r="E7" s="10" t="str">
        <x:v>High</x:v>
      </x:c>
      <x:c r="F7" s="10" t="str">
        <x:v>Medium</x:v>
      </x:c>
      <x:c r="G7" s="10" t="str">
        <x:v>Marketplace Operations Manager</x:v>
      </x:c>
      <x:c r="H7" s="10" t="str">
        <x:v>Preserve rows; request order_id rather than guessing duplicates.</x:v>
      </x:c>
      <x:c r="I7" s="10" t="str">
        <x:v>Metric misinterpretation, missing source contract, or failed control test</x:v>
      </x:c>
      <x:c r="J7" s="10" t="str">
        <x:v>Open; mitigation specified</x:v>
      </x:c>
    </x:row>
    <x:row r="8" ht="40" customHeight="1">
      <x:c r="A8" s="10" t="str">
        <x:v>MKT</x:v>
      </x:c>
      <x:c r="B8" s="10" t="str">
        <x:v>MKT-R-03</x:v>
      </x:c>
      <x:c r="C8" s="10" t="str">
        <x:v>Risk</x:v>
      </x:c>
      <x:c r="D8" s="10" t="str">
        <x:v>Seller concentration misread as poor performance</x:v>
      </x:c>
      <x:c r="E8" s="10" t="str">
        <x:v>Medium</x:v>
      </x:c>
      <x:c r="F8" s="10" t="str">
        <x:v>Medium</x:v>
      </x:c>
      <x:c r="G8" s="10" t="str">
        <x:v>Marketplace Operations Manager</x:v>
      </x:c>
      <x:c r="H8" s="10" t="str">
        <x:v>Require context before intervention.</x:v>
      </x:c>
      <x:c r="I8" s="10" t="str">
        <x:v>Metric misinterpretation, missing source contract, or failed control test</x:v>
      </x:c>
      <x:c r="J8" s="10" t="str">
        <x:v>Open; mitigation specified</x:v>
      </x:c>
    </x:row>
    <x:row r="9" ht="40" customHeight="1">
      <x:c r="A9" s="10" t="str">
        <x:v>MKT</x:v>
      </x:c>
      <x:c r="B9" s="10" t="str">
        <x:v>MKT-A-01</x:v>
      </x:c>
      <x:c r="C9" s="10" t="str">
        <x:v>Assumption</x:v>
      </x:c>
      <x:c r="D9" s="10" t="str">
        <x:v>Currency is USD and supplied extracts are permitted portfolio data; original external provenance is not independently established.</x:v>
      </x:c>
      <x:c r="E9" s="10" t="str">
        <x:v>High</x:v>
      </x:c>
      <x:c r="F9" s="10" t="str">
        <x:v>Unverified</x:v>
      </x:c>
      <x:c r="G9" s="10" t="str">
        <x:v>BA</x:v>
      </x:c>
      <x:c r="H9" s="10" t="str">
        <x:v>Confirm provenance, currency, and publication permission before commercial reuse.</x:v>
      </x:c>
      <x:c r="I9" s="10" t="str">
        <x:v>Production adoption or external distribution beyond portfolio</x:v>
      </x:c>
      <x:c r="J9" s="10" t="str">
        <x:v>Needs source-owner confirmation</x:v>
      </x:c>
    </x:row>
    <x:row r="10" ht="54" customHeight="1">
      <x:c r="A10" s="10" t="str">
        <x:v>MKT</x:v>
      </x:c>
      <x:c r="B10" s="10" t="str">
        <x:v>MKT-D-01</x:v>
      </x:c>
      <x:c r="C10" s="10" t="str">
        <x:v>Dependency</x:v>
      </x:c>
      <x:c r="D10" s="10" t="str">
        <x:v>Request order_id, fee schedule, returns, item costs, seller SLAs, and ledger control totals before extending this case into commercial profitability.</x:v>
      </x:c>
      <x:c r="E10" s="10" t="str">
        <x:v>High</x:v>
      </x:c>
      <x:c r="F10" s="10" t="str">
        <x:v>Required</x:v>
      </x:c>
      <x:c r="G10" s="10" t="str">
        <x:v>Source System Administrator</x:v>
      </x:c>
      <x:c r="H10" s="10" t="str">
        <x:v>Obtain source contracts and required additional fields.</x:v>
      </x:c>
      <x:c r="I10" s="10" t="str">
        <x:v>Scope extension or production build</x:v>
      </x:c>
      <x:c r="J10" s="10" t="str">
        <x:v>Pending</x:v>
      </x:c>
    </x:row>
    <x:row r="11" ht="68" customHeight="1">
      <x:c r="A11" s="10" t="str">
        <x:v>MKT</x:v>
      </x:c>
      <x:c r="B11" s="10" t="str">
        <x:v>MKT-I-01</x:v>
      </x:c>
      <x:c r="C11" s="10" t="str">
        <x:v>Issue</x:v>
      </x:c>
      <x:c r="D11" s="10" t="str">
        <x:v>The dataset has no item cost, returns, seller fees beyond platform revenue, inventory, or experiment assignment. It cannot establish profit margins, pricing causality, or actual Amazon business performance.</x:v>
      </x:c>
      <x:c r="E11" s="10" t="str">
        <x:v>High</x:v>
      </x:c>
      <x:c r="F11" s="10" t="str">
        <x:v>Observed source limitation</x:v>
      </x:c>
      <x:c r="G11" s="10" t="str">
        <x:v>BA</x:v>
      </x:c>
      <x:c r="H11" s="10" t="str">
        <x:v>Keep limitations next to measures and distinguish design from executed evidence.</x:v>
      </x:c>
      <x:c r="I11" s="10" t="str">
        <x:v>Interview or reviewer asks for unsupported inference</x:v>
      </x:c>
      <x:c r="J11" s="10" t="str">
        <x:v>Disclosed</x:v>
      </x:c>
    </x:row>
    <x:row r="12" ht="40" customHeight="1">
      <x:c r="A12" s="10" t="str">
        <x:v>ECOM</x:v>
      </x:c>
      <x:c r="B12" s="10" t="str">
        <x:v>ECOM-R-01</x:v>
      </x:c>
      <x:c r="C12" s="10" t="str">
        <x:v>Risk</x:v>
      </x:c>
      <x:c r="D12" s="10" t="str">
        <x:v>Anonymous records treated as unique customers</x:v>
      </x:c>
      <x:c r="E12" s="10" t="str">
        <x:v>High</x:v>
      </x:c>
      <x:c r="F12" s="10" t="str">
        <x:v>Medium</x:v>
      </x:c>
      <x:c r="G12" s="10" t="str">
        <x:v>Checkout Product Manager</x:v>
      </x:c>
      <x:c r="H12" s="10" t="str">
        <x:v>Use observation wording and obtain event/customer keys.</x:v>
      </x:c>
      <x:c r="I12" s="10" t="str">
        <x:v>Metric misinterpretation, missing source contract, or failed control test</x:v>
      </x:c>
      <x:c r="J12" s="10" t="str">
        <x:v>Open; mitigation specified</x:v>
      </x:c>
    </x:row>
    <x:row r="13" ht="40" customHeight="1">
      <x:c r="A13" s="10" t="str">
        <x:v>ECOM</x:v>
      </x:c>
      <x:c r="B13" s="10" t="str">
        <x:v>ECOM-R-02</x:v>
      </x:c>
      <x:c r="C13" s="10" t="str">
        <x:v>Risk</x:v>
      </x:c>
      <x:c r="D13" s="10" t="str">
        <x:v>Correlation described as a cause</x:v>
      </x:c>
      <x:c r="E13" s="10" t="str">
        <x:v>High</x:v>
      </x:c>
      <x:c r="F13" s="10" t="str">
        <x:v>Medium</x:v>
      </x:c>
      <x:c r="G13" s="10" t="str">
        <x:v>Checkout Product Manager</x:v>
      </x:c>
      <x:c r="H13" s="10" t="str">
        <x:v>Use hypothesis language and design an experiment.</x:v>
      </x:c>
      <x:c r="I13" s="10" t="str">
        <x:v>Metric misinterpretation, missing source contract, or failed control test</x:v>
      </x:c>
      <x:c r="J13" s="10" t="str">
        <x:v>Open; mitigation specified</x:v>
      </x:c>
    </x:row>
    <x:row r="14" ht="40" customHeight="1">
      <x:c r="A14" s="10" t="str">
        <x:v>ECOM</x:v>
      </x:c>
      <x:c r="B14" s="10" t="str">
        <x:v>ECOM-R-03</x:v>
      </x:c>
      <x:c r="C14" s="10" t="str">
        <x:v>Risk</x:v>
      </x:c>
      <x:c r="D14" s="10" t="str">
        <x:v>Repeated observations deleted</x:v>
      </x:c>
      <x:c r="E14" s="10" t="str">
        <x:v>High</x:v>
      </x:c>
      <x:c r="F14" s="10" t="str">
        <x:v>Medium</x:v>
      </x:c>
      <x:c r="G14" s="10" t="str">
        <x:v>Checkout Product Manager</x:v>
      </x:c>
      <x:c r="H14" s="10" t="str">
        <x:v>No deduplication without a validated key.</x:v>
      </x:c>
      <x:c r="I14" s="10" t="str">
        <x:v>Metric misinterpretation, missing source contract, or failed control test</x:v>
      </x:c>
      <x:c r="J14" s="10" t="str">
        <x:v>Open; mitigation specified</x:v>
      </x:c>
    </x:row>
    <x:row r="15" ht="40" customHeight="1">
      <x:c r="A15" s="10" t="str">
        <x:v>ECOM</x:v>
      </x:c>
      <x:c r="B15" s="10" t="str">
        <x:v>ECOM-A-01</x:v>
      </x:c>
      <x:c r="C15" s="10" t="str">
        <x:v>Assumption</x:v>
      </x:c>
      <x:c r="D15" s="10" t="str">
        <x:v>Currency is USD and supplied extracts are permitted portfolio data; original external provenance is not independently established.</x:v>
      </x:c>
      <x:c r="E15" s="10" t="str">
        <x:v>High</x:v>
      </x:c>
      <x:c r="F15" s="10" t="str">
        <x:v>Unverified</x:v>
      </x:c>
      <x:c r="G15" s="10" t="str">
        <x:v>BA</x:v>
      </x:c>
      <x:c r="H15" s="10" t="str">
        <x:v>Confirm provenance, currency, and publication permission before commercial reuse.</x:v>
      </x:c>
      <x:c r="I15" s="10" t="str">
        <x:v>Production adoption or external distribution beyond portfolio</x:v>
      </x:c>
      <x:c r="J15" s="10" t="str">
        <x:v>Needs source-owner confirmation</x:v>
      </x:c>
    </x:row>
    <x:row r="16" ht="54" customHeight="1">
      <x:c r="A16" s="10" t="str">
        <x:v>ECOM</x:v>
      </x:c>
      <x:c r="B16" s="10" t="str">
        <x:v>ECOM-D-01</x:v>
      </x:c>
      <x:c r="C16" s="10" t="str">
        <x:v>Dependency</x:v>
      </x:c>
      <x:c r="D16" s="10" t="str">
        <x:v>Add event_id, session_id, exposure_id, experiment_variant, timestamps, shipping quote events, payment outcomes, and consent flags before causal experimentation.</x:v>
      </x:c>
      <x:c r="E16" s="10" t="str">
        <x:v>High</x:v>
      </x:c>
      <x:c r="F16" s="10" t="str">
        <x:v>Required</x:v>
      </x:c>
      <x:c r="G16" s="10" t="str">
        <x:v>Source System Administrator</x:v>
      </x:c>
      <x:c r="H16" s="10" t="str">
        <x:v>Obtain source contracts and required additional fields.</x:v>
      </x:c>
      <x:c r="I16" s="10" t="str">
        <x:v>Scope extension or production build</x:v>
      </x:c>
      <x:c r="J16" s="10" t="str">
        <x:v>Pending</x:v>
      </x:c>
    </x:row>
    <x:row r="17" ht="68" customHeight="1">
      <x:c r="A17" s="10" t="str">
        <x:v>ECOM</x:v>
      </x:c>
      <x:c r="B17" s="10" t="str">
        <x:v>ECOM-I-01</x:v>
      </x:c>
      <x:c r="C17" s="10" t="str">
        <x:v>Issue</x:v>
      </x:c>
      <x:c r="D17" s="10" t="str">
        <x:v>Repeated complete rows may be valid anonymous observations. Retain them until event keys establish duplication. There are no shipping fees, error events, experiment arms, or customer IDs; causal checkout explanations and unique-customer claims are unsupported.</x:v>
      </x:c>
      <x:c r="E17" s="10" t="str">
        <x:v>High</x:v>
      </x:c>
      <x:c r="F17" s="10" t="str">
        <x:v>Observed source limitation</x:v>
      </x:c>
      <x:c r="G17" s="10" t="str">
        <x:v>BA</x:v>
      </x:c>
      <x:c r="H17" s="10" t="str">
        <x:v>Keep limitations next to measures and distinguish design from executed evidence.</x:v>
      </x:c>
      <x:c r="I17" s="10" t="str">
        <x:v>Interview or reviewer asks for unsupported inference</x:v>
      </x:c>
      <x:c r="J17" s="10" t="str">
        <x:v>Disclosed</x:v>
      </x:c>
    </x:row>
    <x:row r="18" ht="40" customHeight="1">
      <x:c r="A18" s="10" t="str">
        <x:v>FIN</x:v>
      </x:c>
      <x:c r="B18" s="10" t="str">
        <x:v>FIN-R-01</x:v>
      </x:c>
      <x:c r="C18" s="10" t="str">
        <x:v>Risk</x:v>
      </x:c>
      <x:c r="D18" s="10" t="str">
        <x:v>Different extracts presented as one ledger</x:v>
      </x:c>
      <x:c r="E18" s="10" t="str">
        <x:v>High</x:v>
      </x:c>
      <x:c r="F18" s="10" t="str">
        <x:v>Medium</x:v>
      </x:c>
      <x:c r="G18" s="10" t="str">
        <x:v>FP&amp;A Manager</x:v>
      </x:c>
      <x:c r="H18" s="10" t="str">
        <x:v>Keep sources separate and show reconciliation differences.</x:v>
      </x:c>
      <x:c r="I18" s="10" t="str">
        <x:v>Metric misinterpretation, missing source contract, or failed control test</x:v>
      </x:c>
      <x:c r="J18" s="10" t="str">
        <x:v>Open; mitigation specified</x:v>
      </x:c>
    </x:row>
    <x:row r="19" ht="40" customHeight="1">
      <x:c r="A19" s="10" t="str">
        <x:v>FIN</x:v>
      </x:c>
      <x:c r="B19" s="10" t="str">
        <x:v>FIN-R-02</x:v>
      </x:c>
      <x:c r="C19" s="10" t="str">
        <x:v>Risk</x:v>
      </x:c>
      <x:c r="D19" s="10" t="str">
        <x:v>Incorrect cost sign</x:v>
      </x:c>
      <x:c r="E19" s="10" t="str">
        <x:v>High</x:v>
      </x:c>
      <x:c r="F19" s="10" t="str">
        <x:v>Medium</x:v>
      </x:c>
      <x:c r="G19" s="10" t="str">
        <x:v>FP&amp;A Manager</x:v>
      </x:c>
      <x:c r="H19" s="10" t="str">
        <x:v>Validate account mapping and fixed arithmetic fixture.</x:v>
      </x:c>
      <x:c r="I19" s="10" t="str">
        <x:v>Metric misinterpretation, missing source contract, or failed control test</x:v>
      </x:c>
      <x:c r="J19" s="10" t="str">
        <x:v>Open; mitigation specified</x:v>
      </x:c>
    </x:row>
    <x:row r="20" ht="40" customHeight="1">
      <x:c r="A20" s="10" t="str">
        <x:v>FIN</x:v>
      </x:c>
      <x:c r="B20" s="10" t="str">
        <x:v>FIN-R-03</x:v>
      </x:c>
      <x:c r="C20" s="10" t="str">
        <x:v>Risk</x:v>
      </x:c>
      <x:c r="D20" s="10" t="str">
        <x:v>Preparer approves own exceptions</x:v>
      </x:c>
      <x:c r="E20" s="10" t="str">
        <x:v>High</x:v>
      </x:c>
      <x:c r="F20" s="10" t="str">
        <x:v>Medium</x:v>
      </x:c>
      <x:c r="G20" s="10" t="str">
        <x:v>FP&amp;A Manager</x:v>
      </x:c>
      <x:c r="H20" s="10" t="str">
        <x:v>Separate preparation and approval roles.</x:v>
      </x:c>
      <x:c r="I20" s="10" t="str">
        <x:v>Metric misinterpretation, missing source contract, or failed control test</x:v>
      </x:c>
      <x:c r="J20" s="10" t="str">
        <x:v>Open; mitigation specified</x:v>
      </x:c>
    </x:row>
    <x:row r="21" ht="40" customHeight="1">
      <x:c r="A21" s="10" t="str">
        <x:v>FIN</x:v>
      </x:c>
      <x:c r="B21" s="10" t="str">
        <x:v>FIN-A-01</x:v>
      </x:c>
      <x:c r="C21" s="10" t="str">
        <x:v>Assumption</x:v>
      </x:c>
      <x:c r="D21" s="10" t="str">
        <x:v>Currency is USD and supplied extracts are permitted portfolio data; original external provenance is not independently established.</x:v>
      </x:c>
      <x:c r="E21" s="10" t="str">
        <x:v>High</x:v>
      </x:c>
      <x:c r="F21" s="10" t="str">
        <x:v>Unverified</x:v>
      </x:c>
      <x:c r="G21" s="10" t="str">
        <x:v>BA</x:v>
      </x:c>
      <x:c r="H21" s="10" t="str">
        <x:v>Confirm provenance, currency, and publication permission before commercial reuse.</x:v>
      </x:c>
      <x:c r="I21" s="10" t="str">
        <x:v>Production adoption or external distribution beyond portfolio</x:v>
      </x:c>
      <x:c r="J21" s="10" t="str">
        <x:v>Needs source-owner confirmation</x:v>
      </x:c>
    </x:row>
    <x:row r="22" ht="54" customHeight="1">
      <x:c r="A22" s="10" t="str">
        <x:v>FIN</x:v>
      </x:c>
      <x:c r="B22" s="10" t="str">
        <x:v>FIN-D-01</x:v>
      </x:c>
      <x:c r="C22" s="10" t="str">
        <x:v>Dependency</x:v>
      </x:c>
      <x:c r="D22" s="10" t="str">
        <x:v>Obtain ledger control totals, chart-of-accounts mapping, approved budget version, FX policy, fiscal calendar, and controller signoff before production finance use.</x:v>
      </x:c>
      <x:c r="E22" s="10" t="str">
        <x:v>High</x:v>
      </x:c>
      <x:c r="F22" s="10" t="str">
        <x:v>Required</x:v>
      </x:c>
      <x:c r="G22" s="10" t="str">
        <x:v>Source System Administrator</x:v>
      </x:c>
      <x:c r="H22" s="10" t="str">
        <x:v>Obtain source contracts and required additional fields.</x:v>
      </x:c>
      <x:c r="I22" s="10" t="str">
        <x:v>Scope extension or production build</x:v>
      </x:c>
      <x:c r="J22" s="10" t="str">
        <x:v>Pending</x:v>
      </x:c>
    </x:row>
    <x:row r="23" ht="68" customHeight="1">
      <x:c r="A23" s="10" t="str">
        <x:v>FIN</x:v>
      </x:c>
      <x:c r="B23" s="10" t="str">
        <x:v>FIN-I-01</x:v>
      </x:c>
      <x:c r="C23" s="10" t="str">
        <x:v>Issue</x:v>
      </x:c>
      <x:c r="D23" s="10" t="str">
        <x:v>The two supplied extracts are not assumed to share totals or definitions. The account fact table is the analysis basis; reconciliation differences remain visible and block production close approval. There are no balance sheet or cash-flow records.</x:v>
      </x:c>
      <x:c r="E23" s="10" t="str">
        <x:v>High</x:v>
      </x:c>
      <x:c r="F23" s="10" t="str">
        <x:v>Observed source limitation</x:v>
      </x:c>
      <x:c r="G23" s="10" t="str">
        <x:v>BA</x:v>
      </x:c>
      <x:c r="H23" s="10" t="str">
        <x:v>Keep limitations next to measures and distinguish design from executed evidence.</x:v>
      </x:c>
      <x:c r="I23" s="10" t="str">
        <x:v>Interview or reviewer asks for unsupported inference</x:v>
      </x:c>
      <x:c r="J23" s="10" t="str">
        <x:v>Disclosed</x:v>
      </x:c>
    </x:row>
    <x:row r="24" ht="40" customHeight="1">
      <x:c r="A24" s="10" t="str">
        <x:v>ADS</x:v>
      </x:c>
      <x:c r="B24" s="10" t="str">
        <x:v>ADS-R-01</x:v>
      </x:c>
      <x:c r="C24" s="10" t="str">
        <x:v>Risk</x:v>
      </x:c>
      <x:c r="D24" s="10" t="str">
        <x:v>Attributed revenue treated as incremental revenue</x:v>
      </x:c>
      <x:c r="E24" s="10" t="str">
        <x:v>High</x:v>
      </x:c>
      <x:c r="F24" s="10" t="str">
        <x:v>Medium</x:v>
      </x:c>
      <x:c r="G24" s="10" t="str">
        <x:v>Marketing Operations Manager</x:v>
      </x:c>
      <x:c r="H24" s="10" t="str">
        <x:v>Use holdout testing and attribution review.</x:v>
      </x:c>
      <x:c r="I24" s="10" t="str">
        <x:v>Metric misinterpretation, missing source contract, or failed control test</x:v>
      </x:c>
      <x:c r="J24" s="10" t="str">
        <x:v>Open; mitigation specified</x:v>
      </x:c>
    </x:row>
    <x:row r="25" ht="40" customHeight="1">
      <x:c r="A25" s="10" t="str">
        <x:v>ADS</x:v>
      </x:c>
      <x:c r="B25" s="10" t="str">
        <x:v>ADS-R-02</x:v>
      </x:c>
      <x:c r="C25" s="10" t="str">
        <x:v>Risk</x:v>
      </x:c>
      <x:c r="D25" s="10" t="str">
        <x:v>Ad-only contribution labeled profit</x:v>
      </x:c>
      <x:c r="E25" s="10" t="str">
        <x:v>High</x:v>
      </x:c>
      <x:c r="F25" s="10" t="str">
        <x:v>Medium</x:v>
      </x:c>
      <x:c r="G25" s="10" t="str">
        <x:v>Marketing Operations Manager</x:v>
      </x:c>
      <x:c r="H25" s="10" t="str">
        <x:v>Disclose missing business costs.</x:v>
      </x:c>
      <x:c r="I25" s="10" t="str">
        <x:v>Metric misinterpretation, missing source contract, or failed control test</x:v>
      </x:c>
      <x:c r="J25" s="10" t="str">
        <x:v>Open; mitigation specified</x:v>
      </x:c>
    </x:row>
    <x:row r="26" ht="40" customHeight="1">
      <x:c r="A26" s="10" t="str">
        <x:v>ADS</x:v>
      </x:c>
      <x:c r="B26" s="10" t="str">
        <x:v>ADS-R-03</x:v>
      </x:c>
      <x:c r="C26" s="10" t="str">
        <x:v>Risk</x:v>
      </x:c>
      <x:c r="D26" s="10" t="str">
        <x:v>Spend saturation invalidates linear assumptions</x:v>
      </x:c>
      <x:c r="E26" s="10" t="str">
        <x:v>Medium</x:v>
      </x:c>
      <x:c r="F26" s="10" t="str">
        <x:v>Medium</x:v>
      </x:c>
      <x:c r="G26" s="10" t="str">
        <x:v>Marketing Operations Manager</x:v>
      </x:c>
      <x:c r="H26" s="10" t="str">
        <x:v>Pilot small increases and monitor marginal response.</x:v>
      </x:c>
      <x:c r="I26" s="10" t="str">
        <x:v>Metric misinterpretation, missing source contract, or failed control test</x:v>
      </x:c>
      <x:c r="J26" s="10" t="str">
        <x:v>Open; mitigation specified</x:v>
      </x:c>
    </x:row>
    <x:row r="27" ht="40" customHeight="1">
      <x:c r="A27" s="10" t="str">
        <x:v>ADS</x:v>
      </x:c>
      <x:c r="B27" s="10" t="str">
        <x:v>ADS-A-01</x:v>
      </x:c>
      <x:c r="C27" s="10" t="str">
        <x:v>Assumption</x:v>
      </x:c>
      <x:c r="D27" s="10" t="str">
        <x:v>Currency is USD and supplied extracts are permitted portfolio data; original external provenance is not independently established.</x:v>
      </x:c>
      <x:c r="E27" s="10" t="str">
        <x:v>High</x:v>
      </x:c>
      <x:c r="F27" s="10" t="str">
        <x:v>Unverified</x:v>
      </x:c>
      <x:c r="G27" s="10" t="str">
        <x:v>BA</x:v>
      </x:c>
      <x:c r="H27" s="10" t="str">
        <x:v>Confirm provenance, currency, and publication permission before commercial reuse.</x:v>
      </x:c>
      <x:c r="I27" s="10" t="str">
        <x:v>Production adoption or external distribution beyond portfolio</x:v>
      </x:c>
      <x:c r="J27" s="10" t="str">
        <x:v>Needs source-owner confirmation</x:v>
      </x:c>
    </x:row>
    <x:row r="28" ht="54" customHeight="1">
      <x:c r="A28" s="10" t="str">
        <x:v>ADS</x:v>
      </x:c>
      <x:c r="B28" s="10" t="str">
        <x:v>ADS-D-01</x:v>
      </x:c>
      <x:c r="C28" s="10" t="str">
        <x:v>Dependency</x:v>
      </x:c>
      <x:c r="D28" s="10" t="str">
        <x:v>Obtain campaign IDs, attribution windows, order-level revenue, returns, COGS, agency fees, and experiment assignments before full ROI or incrementality reporting.</x:v>
      </x:c>
      <x:c r="E28" s="10" t="str">
        <x:v>High</x:v>
      </x:c>
      <x:c r="F28" s="10" t="str">
        <x:v>Required</x:v>
      </x:c>
      <x:c r="G28" s="10" t="str">
        <x:v>Source System Administrator</x:v>
      </x:c>
      <x:c r="H28" s="10" t="str">
        <x:v>Obtain source contracts and required additional fields.</x:v>
      </x:c>
      <x:c r="I28" s="10" t="str">
        <x:v>Scope extension or production build</x:v>
      </x:c>
      <x:c r="J28" s="10" t="str">
        <x:v>Pending</x:v>
      </x:c>
    </x:row>
    <x:row r="29" ht="68" customHeight="1">
      <x:c r="A29" s="10" t="str">
        <x:v>ADS</x:v>
      </x:c>
      <x:c r="B29" s="10" t="str">
        <x:v>ADS-I-01</x:v>
      </x:c>
      <x:c r="C29" s="10" t="str">
        <x:v>Issue</x:v>
      </x:c>
      <x:c r="D29" s="10" t="str">
        <x:v>Attributed revenue does not prove incremental revenue. Revenue minus advertising cost excludes COGS, agency fees, returns, and other costs; it is an ad-only contribution measure, not full net profit or causal ROI.</x:v>
      </x:c>
      <x:c r="E29" s="10" t="str">
        <x:v>High</x:v>
      </x:c>
      <x:c r="F29" s="10" t="str">
        <x:v>Observed source limitation</x:v>
      </x:c>
      <x:c r="G29" s="10" t="str">
        <x:v>BA</x:v>
      </x:c>
      <x:c r="H29" s="10" t="str">
        <x:v>Keep limitations next to measures and distinguish design from executed evidence.</x:v>
      </x:c>
      <x:c r="I29" s="10" t="str">
        <x:v>Interview or reviewer asks for unsupported inference</x:v>
      </x:c>
      <x:c r="J29" s="10" t="str">
        <x:v>Disclosed</x:v>
      </x:c>
    </x:row>
    <x:row r="30" ht="40" customHeight="1">
      <x:c r="A30" s="10" t="str">
        <x:v>REG</x:v>
      </x:c>
      <x:c r="B30" s="10" t="str">
        <x:v>REG-R-01</x:v>
      </x:c>
      <x:c r="C30" s="10" t="str">
        <x:v>Risk</x:v>
      </x:c>
      <x:c r="D30" s="10" t="str">
        <x:v>Restaurant data described as rep data</x:v>
      </x:c>
      <x:c r="E30" s="10" t="str">
        <x:v>High</x:v>
      </x:c>
      <x:c r="F30" s="10" t="str">
        <x:v>Medium</x:v>
      </x:c>
      <x:c r="G30" s="10" t="str">
        <x:v>Sales Operations Manager</x:v>
      </x:c>
      <x:c r="H30" s="10" t="str">
        <x:v>Rewrite scope and dictionary using actual fields.</x:v>
      </x:c>
      <x:c r="I30" s="10" t="str">
        <x:v>Metric misinterpretation, missing source contract, or failed control test</x:v>
      </x:c>
      <x:c r="J30" s="10" t="str">
        <x:v>Open; mitigation specified</x:v>
      </x:c>
    </x:row>
    <x:row r="31" ht="40" customHeight="1">
      <x:c r="A31" s="10" t="str">
        <x:v>REG</x:v>
      </x:c>
      <x:c r="B31" s="10" t="str">
        <x:v>REG-R-02</x:v>
      </x:c>
      <x:c r="C31" s="10" t="str">
        <x:v>Risk</x:v>
      </x:c>
      <x:c r="D31" s="10" t="str">
        <x:v>Missing month appears as a sales decline</x:v>
      </x:c>
      <x:c r="E31" s="10" t="str">
        <x:v>High</x:v>
      </x:c>
      <x:c r="F31" s="10" t="str">
        <x:v>Medium</x:v>
      </x:c>
      <x:c r="G31" s="10" t="str">
        <x:v>Sales Operations Manager</x:v>
      </x:c>
      <x:c r="H31" s="10" t="str">
        <x:v>Coverage check and adjacency condition.</x:v>
      </x:c>
      <x:c r="I31" s="10" t="str">
        <x:v>Metric misinterpretation, missing source contract, or failed control test</x:v>
      </x:c>
      <x:c r="J31" s="10" t="str">
        <x:v>Open; mitigation specified</x:v>
      </x:c>
    </x:row>
    <x:row r="32" ht="40" customHeight="1">
      <x:c r="A32" s="10" t="str">
        <x:v>REG</x:v>
      </x:c>
      <x:c r="B32" s="10" t="str">
        <x:v>REG-R-03</x:v>
      </x:c>
      <x:c r="C32" s="10" t="str">
        <x:v>Risk</x:v>
      </x:c>
      <x:c r="D32" s="10" t="str">
        <x:v>Ranking interpreted as profitability</x:v>
      </x:c>
      <x:c r="E32" s="10" t="str">
        <x:v>Medium</x:v>
      </x:c>
      <x:c r="F32" s="10" t="str">
        <x:v>Medium</x:v>
      </x:c>
      <x:c r="G32" s="10" t="str">
        <x:v>Sales Operations Manager</x:v>
      </x:c>
      <x:c r="H32" s="10" t="str">
        <x:v>Sales-only labels and request cost data.</x:v>
      </x:c>
      <x:c r="I32" s="10" t="str">
        <x:v>Metric misinterpretation, missing source contract, or failed control test</x:v>
      </x:c>
      <x:c r="J32" s="10" t="str">
        <x:v>Open; mitigation specified</x:v>
      </x:c>
    </x:row>
    <x:row r="33" ht="40" customHeight="1">
      <x:c r="A33" s="10" t="str">
        <x:v>REG</x:v>
      </x:c>
      <x:c r="B33" s="10" t="str">
        <x:v>REG-A-01</x:v>
      </x:c>
      <x:c r="C33" s="10" t="str">
        <x:v>Assumption</x:v>
      </x:c>
      <x:c r="D33" s="10" t="str">
        <x:v>Currency is USD and supplied extracts are permitted portfolio data; original external provenance is not independently established.</x:v>
      </x:c>
      <x:c r="E33" s="10" t="str">
        <x:v>High</x:v>
      </x:c>
      <x:c r="F33" s="10" t="str">
        <x:v>Unverified</x:v>
      </x:c>
      <x:c r="G33" s="10" t="str">
        <x:v>BA</x:v>
      </x:c>
      <x:c r="H33" s="10" t="str">
        <x:v>Confirm provenance, currency, and publication permission before commercial reuse.</x:v>
      </x:c>
      <x:c r="I33" s="10" t="str">
        <x:v>Production adoption or external distribution beyond portfolio</x:v>
      </x:c>
      <x:c r="J33" s="10" t="str">
        <x:v>Needs source-owner confirmation</x:v>
      </x:c>
    </x:row>
    <x:row r="34" ht="54" customHeight="1">
      <x:c r="A34" s="10" t="str">
        <x:v>REG</x:v>
      </x:c>
      <x:c r="B34" s="10" t="str">
        <x:v>REG-D-01</x:v>
      </x:c>
      <x:c r="C34" s="10" t="str">
        <x:v>Dependency</x:v>
      </x:c>
      <x:c r="D34" s="10" t="str">
        <x:v>Obtain monthly targets, store operating calendar, closures, currency, comparable-store flags, costs, and prior-year sales before extending performance conclusions.</x:v>
      </x:c>
      <x:c r="E34" s="10" t="str">
        <x:v>High</x:v>
      </x:c>
      <x:c r="F34" s="10" t="str">
        <x:v>Required</x:v>
      </x:c>
      <x:c r="G34" s="10" t="str">
        <x:v>Source System Administrator</x:v>
      </x:c>
      <x:c r="H34" s="10" t="str">
        <x:v>Obtain source contracts and required additional fields.</x:v>
      </x:c>
      <x:c r="I34" s="10" t="str">
        <x:v>Scope extension or production build</x:v>
      </x:c>
      <x:c r="J34" s="10" t="str">
        <x:v>Pending</x:v>
      </x:c>
    </x:row>
    <x:row r="35" ht="68" customHeight="1">
      <x:c r="A35" s="10" t="str">
        <x:v>REG</x:v>
      </x:c>
      <x:c r="B35" s="10" t="str">
        <x:v>REG-I-01</x:v>
      </x:c>
      <x:c r="C35" s="10" t="str">
        <x:v>Issue</x:v>
      </x:c>
      <x:c r="D35" s="10" t="str">
        <x:v>There are no revenue targets, sales reps, product categories, operating costs, or prior-year records. This case cannot establish target attainment, profitability, rep performance, or year-over-year change.</x:v>
      </x:c>
      <x:c r="E35" s="10" t="str">
        <x:v>High</x:v>
      </x:c>
      <x:c r="F35" s="10" t="str">
        <x:v>Observed source limitation</x:v>
      </x:c>
      <x:c r="G35" s="10" t="str">
        <x:v>BA</x:v>
      </x:c>
      <x:c r="H35" s="10" t="str">
        <x:v>Keep limitations next to measures and distinguish design from executed evidence.</x:v>
      </x:c>
      <x:c r="I35" s="10" t="str">
        <x:v>Interview or reviewer asks for unsupported inference</x:v>
      </x:c>
      <x:c r="J35" s="10" t="str">
        <x:v>Disclosed</x:v>
      </x:c>
    </x:row>
    <x:row r="36" ht="40" customHeight="1">
      <x:c r="A36" s="10" t="str">
        <x:v>CRM</x:v>
      </x:c>
      <x:c r="B36" s="10" t="str">
        <x:v>CRM-R-01</x:v>
      </x:c>
      <x:c r="C36" s="10" t="str">
        <x:v>Risk</x:v>
      </x:c>
      <x:c r="D36" s="10" t="str">
        <x:v>Closed won included in open pipeline</x:v>
      </x:c>
      <x:c r="E36" s="10" t="str">
        <x:v>High</x:v>
      </x:c>
      <x:c r="F36" s="10" t="str">
        <x:v>Medium</x:v>
      </x:c>
      <x:c r="G36" s="10" t="str">
        <x:v>Sales Operations Manager</x:v>
      </x:c>
      <x:c r="H36" s="10" t="str">
        <x:v>Separate populations and reconcile the bridge.</x:v>
      </x:c>
      <x:c r="I36" s="10" t="str">
        <x:v>Metric misinterpretation, missing source contract, or failed control test</x:v>
      </x:c>
      <x:c r="J36" s="10" t="str">
        <x:v>Open; mitigation specified</x:v>
      </x:c>
    </x:row>
    <x:row r="37" ht="40" customHeight="1">
      <x:c r="A37" s="10" t="str">
        <x:v>CRM</x:v>
      </x:c>
      <x:c r="B37" s="10" t="str">
        <x:v>CRM-R-02</x:v>
      </x:c>
      <x:c r="C37" s="10" t="str">
        <x:v>Risk</x:v>
      </x:c>
      <x:c r="D37" s="10" t="str">
        <x:v>Probabilities treated as calibrated forecasts</x:v>
      </x:c>
      <x:c r="E37" s="10" t="str">
        <x:v>High</x:v>
      </x:c>
      <x:c r="F37" s="10" t="str">
        <x:v>Medium</x:v>
      </x:c>
      <x:c r="G37" s="10" t="str">
        <x:v>Sales Operations Manager</x:v>
      </x:c>
      <x:c r="H37" s="10" t="str">
        <x:v>Label scenario weighting and request historical outcomes.</x:v>
      </x:c>
      <x:c r="I37" s="10" t="str">
        <x:v>Metric misinterpretation, missing source contract, or failed control test</x:v>
      </x:c>
      <x:c r="J37" s="10" t="str">
        <x:v>Open; mitigation specified</x:v>
      </x:c>
    </x:row>
    <x:row r="38" ht="40" customHeight="1">
      <x:c r="A38" s="10" t="str">
        <x:v>CRM</x:v>
      </x:c>
      <x:c r="B38" s="10" t="str">
        <x:v>CRM-R-03</x:v>
      </x:c>
      <x:c r="C38" s="10" t="str">
        <x:v>Risk</x:v>
      </x:c>
      <x:c r="D38" s="10" t="str">
        <x:v>Tiny sample overinterpreted</x:v>
      </x:c>
      <x:c r="E38" s="10" t="str">
        <x:v>Medium</x:v>
      </x:c>
      <x:c r="F38" s="10" t="str">
        <x:v>Medium</x:v>
      </x:c>
      <x:c r="G38" s="10" t="str">
        <x:v>Sales Operations Manager</x:v>
      </x:c>
      <x:c r="H38" s="10" t="str">
        <x:v>Disclose ten-record snapshot and avoid trend claims.</x:v>
      </x:c>
      <x:c r="I38" s="10" t="str">
        <x:v>Metric misinterpretation, missing source contract, or failed control test</x:v>
      </x:c>
      <x:c r="J38" s="10" t="str">
        <x:v>Open; mitigation specified</x:v>
      </x:c>
    </x:row>
    <x:row r="39" ht="40" customHeight="1">
      <x:c r="A39" s="10" t="str">
        <x:v>CRM</x:v>
      </x:c>
      <x:c r="B39" s="10" t="str">
        <x:v>CRM-A-01</x:v>
      </x:c>
      <x:c r="C39" s="10" t="str">
        <x:v>Assumption</x:v>
      </x:c>
      <x:c r="D39" s="10" t="str">
        <x:v>Currency is USD and supplied extracts are permitted portfolio data; original external provenance is not independently established.</x:v>
      </x:c>
      <x:c r="E39" s="10" t="str">
        <x:v>High</x:v>
      </x:c>
      <x:c r="F39" s="10" t="str">
        <x:v>Unverified</x:v>
      </x:c>
      <x:c r="G39" s="10" t="str">
        <x:v>BA</x:v>
      </x:c>
      <x:c r="H39" s="10" t="str">
        <x:v>Confirm provenance, currency, and publication permission before commercial reuse.</x:v>
      </x:c>
      <x:c r="I39" s="10" t="str">
        <x:v>Production adoption or external distribution beyond portfolio</x:v>
      </x:c>
      <x:c r="J39" s="10" t="str">
        <x:v>Needs source-owner confirmation</x:v>
      </x:c>
    </x:row>
    <x:row r="40" ht="54" customHeight="1">
      <x:c r="A40" s="10" t="str">
        <x:v>CRM</x:v>
      </x:c>
      <x:c r="B40" s="10" t="str">
        <x:v>CRM-D-01</x:v>
      </x:c>
      <x:c r="C40" s="10" t="str">
        <x:v>Dependency</x:v>
      </x:c>
      <x:c r="D40" s="10" t="str">
        <x:v>Add snapshot_date, owner_id, created_date, expected_close_date, stage_history, loss_reason, account_id, and approved probability policy before time-bounded forecasting.</x:v>
      </x:c>
      <x:c r="E40" s="10" t="str">
        <x:v>High</x:v>
      </x:c>
      <x:c r="F40" s="10" t="str">
        <x:v>Required</x:v>
      </x:c>
      <x:c r="G40" s="10" t="str">
        <x:v>Source System Administrator</x:v>
      </x:c>
      <x:c r="H40" s="10" t="str">
        <x:v>Obtain source contracts and required additional fields.</x:v>
      </x:c>
      <x:c r="I40" s="10" t="str">
        <x:v>Scope extension or production build</x:v>
      </x:c>
      <x:c r="J40" s="10" t="str">
        <x:v>Pending</x:v>
      </x:c>
    </x:row>
    <x:row r="41" ht="68" customHeight="1">
      <x:c r="A41" s="10" t="str">
        <x:v>CRM</x:v>
      </x:c>
      <x:c r="B41" s="10" t="str">
        <x:v>CRM-I-01</x:v>
      </x:c>
      <x:c r="C41" s="10" t="str">
        <x:v>Issue</x:v>
      </x:c>
      <x:c r="D41" s="10" t="str">
        <x:v>There are no close dates, owners, customer identifiers, stage history, snapshot dates, or activities. This is a small current-state snapshot and cannot establish conversion rates, sales velocity, forecast accuracy, or a historical win rate.</x:v>
      </x:c>
      <x:c r="E41" s="10" t="str">
        <x:v>High</x:v>
      </x:c>
      <x:c r="F41" s="10" t="str">
        <x:v>Observed source limitation</x:v>
      </x:c>
      <x:c r="G41" s="10" t="str">
        <x:v>BA</x:v>
      </x:c>
      <x:c r="H41" s="10" t="str">
        <x:v>Keep limitations next to measures and distinguish design from executed evidence.</x:v>
      </x:c>
      <x:c r="I41" s="10" t="str">
        <x:v>Interview or reviewer asks for unsupported inference</x:v>
      </x:c>
      <x:c r="J41" s="10" t="str">
        <x:v>Disclosed</x:v>
      </x:c>
    </x:row>
  </x:sheetData>
  <x:pageMargins left="0.7" right="0.7" top="0.75" bottom="0.75" header="0.3" footer="0.3"/>
  <x:tableParts count="1">
    <x:tablePart xmlns:r="http://schemas.openxmlformats.org/officeDocument/2006/relationships" r:id="R76892cbed9f649a1"/>
  </x:tableParts>
</x:worksheet>
</file>

<file path=xl/worksheets/sheet6.xml><?xml version="1.0" encoding="utf-8"?>
<x:worksheet xmlns:x="http://schemas.openxmlformats.org/spreadsheetml/2006/main">
  <x:sheetPr>
    <x:tabColor rgb="FF1833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50" hidden="0" customWidth="1"/>
    <x:col min="4" max="4" width="65" hidden="0" customWidth="1"/>
    <x:col min="5" max="5" width="60" hidden="0" customWidth="1"/>
    <x:col min="6" max="6" width="55" hidden="0" customWidth="1"/>
    <x:col min="7" max="7" width="60" hidden="0" customWidth="1"/>
    <x:col min="8" max="8" width="45" hidden="0" customWidth="1"/>
    <x:col min="9" max="9" width="45" hidden="0" customWidth="1"/>
    <x:col min="10" max="10" width="65" hidden="0" customWidth="1"/>
    <x:col min="11" max="11" width="30" hidden="0" customWidth="1"/>
    <x:col min="12" max="12" width="5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Change impact and decision log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0" customHeight="1">
      <x:c r="A5" s="8" t="str">
        <x:v>Project</x:v>
      </x:c>
      <x:c r="B5" s="8" t="str">
        <x:v>Change ID</x:v>
      </x:c>
      <x:c r="C5" s="8" t="str">
        <x:v>Trigger</x:v>
      </x:c>
      <x:c r="D5" s="8" t="str">
        <x:v>Requested Change</x:v>
      </x:c>
      <x:c r="E5" s="8" t="str">
        <x:v>Requirements Impact</x:v>
      </x:c>
      <x:c r="F5" s="8" t="str">
        <x:v>Data Impact</x:v>
      </x:c>
      <x:c r="G5" s="8" t="str">
        <x:v>Test Impact</x:v>
      </x:c>
      <x:c r="H5" s="8" t="str">
        <x:v>Schedule Impact</x:v>
      </x:c>
      <x:c r="I5" s="8" t="str">
        <x:v>Cost Impact</x:v>
      </x:c>
      <x:c r="J5" s="8" t="str">
        <x:v>Recommendation</x:v>
      </x:c>
      <x:c r="K5" s="8" t="str">
        <x:v>Approver</x:v>
      </x:c>
      <x:c r="L5" s="8" t="str">
        <x:v>Status</x:v>
      </x:c>
    </x:row>
    <x:row r="6" ht="40" customHeight="1">
      <x:c r="A6" s="10" t="str">
        <x:v>MKT</x:v>
      </x:c>
      <x:c r="B6" s="10" t="str">
        <x:v>MKT-CR-01</x:v>
      </x:c>
      <x:c r="C6" s="10" t="str">
        <x:v>Repository audit found narrative/data alignment or missing controls.</x:v>
      </x:c>
      <x:c r="D6" s="10" t="str">
        <x:v>Align the case scope, weighted metrics, source controls, and acceptance tests to the supplied dataset.</x:v>
      </x:c>
      <x:c r="E6" s="10" t="str">
        <x:v>MKT-REQ-01; MKT-REQ-02; MKT-REQ-03; MKT-REQ-04; MKT-REQ-05; MKT-REQ-06; MKT-REQ-07; MKT-REQ-08</x:v>
      </x:c>
      <x:c r="F6" s="10" t="str">
        <x:v>No original CSV records altered; canonical schema generated in memory.</x:v>
      </x:c>
      <x:c r="G6" s="10" t="str">
        <x:v>Re-run source controls and adversarial fixtures; review UAT plan.</x:v>
      </x:c>
      <x:c r="H6" s="10" t="str">
        <x:v>Illustrative implementation backlog re-estimation required.</x:v>
      </x:c>
      <x:c r="I6" s="10" t="str">
        <x:v>No actual labor rates or approved budget supplied.</x:v>
      </x:c>
      <x:c r="J6" s="10" t="str">
        <x:v>Approve revised portfolio analysis scope; production implementation remains a separate decision.</x:v>
      </x:c>
      <x:c r="K6" s="10" t="str">
        <x:v>Marketplace General Manager</x:v>
      </x:c>
      <x:c r="L6" s="10" t="str">
        <x:v>Portfolio change delivered; external approval not claimed</x:v>
      </x:c>
    </x:row>
    <x:row r="7" ht="40" customHeight="1">
      <x:c r="A7" s="10" t="str">
        <x:v>ECOM</x:v>
      </x:c>
      <x:c r="B7" s="10" t="str">
        <x:v>ECOM-CR-01</x:v>
      </x:c>
      <x:c r="C7" s="10" t="str">
        <x:v>Repository audit found narrative/data alignment or missing controls.</x:v>
      </x:c>
      <x:c r="D7" s="10" t="str">
        <x:v>Align the case scope, weighted metrics, source controls, and acceptance tests to the supplied dataset.</x:v>
      </x:c>
      <x:c r="E7" s="10" t="str">
        <x:v>ECOM-REQ-01; ECOM-REQ-02; ECOM-REQ-03; ECOM-REQ-04; ECOM-REQ-05; ECOM-REQ-06; ECOM-REQ-07; ECOM-REQ-08</x:v>
      </x:c>
      <x:c r="F7" s="10" t="str">
        <x:v>No original CSV records altered; canonical schema generated in memory.</x:v>
      </x:c>
      <x:c r="G7" s="10" t="str">
        <x:v>Re-run source controls and adversarial fixtures; review UAT plan.</x:v>
      </x:c>
      <x:c r="H7" s="10" t="str">
        <x:v>Illustrative implementation backlog re-estimation required.</x:v>
      </x:c>
      <x:c r="I7" s="10" t="str">
        <x:v>No actual labor rates or approved budget supplied.</x:v>
      </x:c>
      <x:c r="J7" s="10" t="str">
        <x:v>Approve revised portfolio analysis scope; production implementation remains a separate decision.</x:v>
      </x:c>
      <x:c r="K7" s="10" t="str">
        <x:v>Head of Ecommerce</x:v>
      </x:c>
      <x:c r="L7" s="10" t="str">
        <x:v>Portfolio change delivered; external approval not claimed</x:v>
      </x:c>
    </x:row>
    <x:row r="8" ht="40" customHeight="1">
      <x:c r="A8" s="10" t="str">
        <x:v>FIN</x:v>
      </x:c>
      <x:c r="B8" s="10" t="str">
        <x:v>FIN-CR-01</x:v>
      </x:c>
      <x:c r="C8" s="10" t="str">
        <x:v>Repository audit found narrative/data alignment or missing controls.</x:v>
      </x:c>
      <x:c r="D8" s="10" t="str">
        <x:v>Align the case scope, weighted metrics, source controls, and acceptance tests to the supplied dataset.</x:v>
      </x:c>
      <x:c r="E8" s="10" t="str">
        <x:v>FIN-REQ-01; FIN-REQ-02; FIN-REQ-03; FIN-REQ-04; FIN-REQ-05; FIN-REQ-06; FIN-REQ-07; FIN-REQ-08</x:v>
      </x:c>
      <x:c r="F8" s="10" t="str">
        <x:v>No original CSV records altered; canonical schema generated in memory.</x:v>
      </x:c>
      <x:c r="G8" s="10" t="str">
        <x:v>Re-run source controls and adversarial fixtures; review UAT plan.</x:v>
      </x:c>
      <x:c r="H8" s="10" t="str">
        <x:v>Illustrative implementation backlog re-estimation required.</x:v>
      </x:c>
      <x:c r="I8" s="10" t="str">
        <x:v>No actual labor rates or approved budget supplied.</x:v>
      </x:c>
      <x:c r="J8" s="10" t="str">
        <x:v>Approve revised portfolio analysis scope; production implementation remains a separate decision.</x:v>
      </x:c>
      <x:c r="K8" s="10" t="str">
        <x:v>Chief Financial Officer</x:v>
      </x:c>
      <x:c r="L8" s="10" t="str">
        <x:v>Portfolio change delivered; external approval not claimed</x:v>
      </x:c>
    </x:row>
    <x:row r="9" ht="40" customHeight="1">
      <x:c r="A9" s="10" t="str">
        <x:v>ADS</x:v>
      </x:c>
      <x:c r="B9" s="10" t="str">
        <x:v>ADS-CR-01</x:v>
      </x:c>
      <x:c r="C9" s="10" t="str">
        <x:v>Repository audit found narrative/data alignment or missing controls.</x:v>
      </x:c>
      <x:c r="D9" s="10" t="str">
        <x:v>Align the case scope, weighted metrics, source controls, and acceptance tests to the supplied dataset.</x:v>
      </x:c>
      <x:c r="E9" s="10" t="str">
        <x:v>ADS-REQ-01; ADS-REQ-02; ADS-REQ-03; ADS-REQ-04; ADS-REQ-05; ADS-REQ-06; ADS-REQ-07; ADS-REQ-08</x:v>
      </x:c>
      <x:c r="F9" s="10" t="str">
        <x:v>No original CSV records altered; canonical schema generated in memory.</x:v>
      </x:c>
      <x:c r="G9" s="10" t="str">
        <x:v>Re-run source controls and adversarial fixtures; review UAT plan.</x:v>
      </x:c>
      <x:c r="H9" s="10" t="str">
        <x:v>Illustrative implementation backlog re-estimation required.</x:v>
      </x:c>
      <x:c r="I9" s="10" t="str">
        <x:v>No actual labor rates or approved budget supplied.</x:v>
      </x:c>
      <x:c r="J9" s="10" t="str">
        <x:v>Approve revised portfolio analysis scope; production implementation remains a separate decision.</x:v>
      </x:c>
      <x:c r="K9" s="10" t="str">
        <x:v>VP Growth</x:v>
      </x:c>
      <x:c r="L9" s="10" t="str">
        <x:v>Portfolio change delivered; external approval not claimed</x:v>
      </x:c>
    </x:row>
    <x:row r="10" ht="40" customHeight="1">
      <x:c r="A10" s="10" t="str">
        <x:v>REG</x:v>
      </x:c>
      <x:c r="B10" s="10" t="str">
        <x:v>REG-CR-01</x:v>
      </x:c>
      <x:c r="C10" s="10" t="str">
        <x:v>Repository audit found narrative/data alignment or missing controls.</x:v>
      </x:c>
      <x:c r="D10" s="10" t="str">
        <x:v>Align the case scope, weighted metrics, source controls, and acceptance tests to the supplied dataset.</x:v>
      </x:c>
      <x:c r="E10" s="10" t="str">
        <x:v>REG-REQ-01; REG-REQ-02; REG-REQ-03; REG-REQ-04; REG-REQ-05; REG-REQ-06; REG-REQ-07; REG-REQ-08</x:v>
      </x:c>
      <x:c r="F10" s="10" t="str">
        <x:v>No original CSV records altered; canonical schema generated in memory.</x:v>
      </x:c>
      <x:c r="G10" s="10" t="str">
        <x:v>Re-run source controls and adversarial fixtures; review UAT plan.</x:v>
      </x:c>
      <x:c r="H10" s="10" t="str">
        <x:v>Illustrative implementation backlog re-estimation required.</x:v>
      </x:c>
      <x:c r="I10" s="10" t="str">
        <x:v>No actual labor rates or approved budget supplied.</x:v>
      </x:c>
      <x:c r="J10" s="10" t="str">
        <x:v>Approve revised portfolio analysis scope; production implementation remains a separate decision.</x:v>
      </x:c>
      <x:c r="K10" s="10" t="str">
        <x:v>Regional Operations Director</x:v>
      </x:c>
      <x:c r="L10" s="10" t="str">
        <x:v>Portfolio change delivered; external approval not claimed</x:v>
      </x:c>
    </x:row>
    <x:row r="11" ht="40" customHeight="1">
      <x:c r="A11" s="10" t="str">
        <x:v>CRM</x:v>
      </x:c>
      <x:c r="B11" s="10" t="str">
        <x:v>CRM-CR-01</x:v>
      </x:c>
      <x:c r="C11" s="10" t="str">
        <x:v>Repository audit found narrative/data alignment or missing controls.</x:v>
      </x:c>
      <x:c r="D11" s="10" t="str">
        <x:v>Align the case scope, weighted metrics, source controls, and acceptance tests to the supplied dataset.</x:v>
      </x:c>
      <x:c r="E11" s="10" t="str">
        <x:v>CRM-REQ-01; CRM-REQ-02; CRM-REQ-03; CRM-REQ-04; CRM-REQ-05; CRM-REQ-06; CRM-REQ-07; CRM-REQ-08</x:v>
      </x:c>
      <x:c r="F11" s="10" t="str">
        <x:v>No original CSV records altered; canonical schema generated in memory.</x:v>
      </x:c>
      <x:c r="G11" s="10" t="str">
        <x:v>Re-run source controls and adversarial fixtures; review UAT plan.</x:v>
      </x:c>
      <x:c r="H11" s="10" t="str">
        <x:v>Illustrative implementation backlog re-estimation required.</x:v>
      </x:c>
      <x:c r="I11" s="10" t="str">
        <x:v>No actual labor rates or approved budget supplied.</x:v>
      </x:c>
      <x:c r="J11" s="10" t="str">
        <x:v>Approve revised portfolio analysis scope; production implementation remains a separate decision.</x:v>
      </x:c>
      <x:c r="K11" s="10" t="str">
        <x:v>VP Sales</x:v>
      </x:c>
      <x:c r="L11" s="10" t="str">
        <x:v>Portfolio change delivered; external approval not claimed</x:v>
      </x:c>
    </x:row>
  </x:sheetData>
  <x:pageMargins left="0.7" right="0.7" top="0.75" bottom="0.75" header="0.3" footer="0.3"/>
  <x:tableParts count="1">
    <x:tablePart xmlns:r="http://schemas.openxmlformats.org/officeDocument/2006/relationships" r:id="Rbc65450ea3ae49f6"/>
  </x:tableParts>
</x:worksheet>
</file>

<file path=xl/worksheets/sheet7.xml><?xml version="1.0" encoding="utf-8"?>
<x:worksheet xmlns:x="http://schemas.openxmlformats.org/spreadsheetml/2006/main">
  <x:sheetPr>
    <x:tabColor rgb="FF1833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0" hidden="0" customWidth="1"/>
    <x:col min="5" max="5" width="65" hidden="0" customWidth="1"/>
    <x:col min="6" max="6" width="45" hidden="0" customWidth="1"/>
    <x:col min="7" max="7" width="32" hidden="0" customWidth="1"/>
    <x:col min="8" max="8" width="60" hidden="0" customWidth="1"/>
    <x:col min="9" max="9" width="6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Defect triage and disposition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0" customHeight="1">
      <x:c r="A5" s="8" t="str">
        <x:v>Project</x:v>
      </x:c>
      <x:c r="B5" s="8" t="str">
        <x:v>Defect ID</x:v>
      </x:c>
      <x:c r="C5" s="8" t="str">
        <x:v>Linked Test</x:v>
      </x:c>
      <x:c r="D5" s="8" t="str">
        <x:v>Severity</x:v>
      </x:c>
      <x:c r="E5" s="8" t="str">
        <x:v>Description</x:v>
      </x:c>
      <x:c r="F5" s="8" t="str">
        <x:v>Status</x:v>
      </x:c>
      <x:c r="G5" s="8" t="str">
        <x:v>Owner</x:v>
      </x:c>
      <x:c r="H5" s="8" t="str">
        <x:v>Reproduction</x:v>
      </x:c>
      <x:c r="I5" s="8" t="str">
        <x:v>Disposition</x:v>
      </x:c>
    </x:row>
    <x:row r="6" ht="54" customHeight="1">
      <x:c r="A6" s="10" t="str">
        <x:v>MKT</x:v>
      </x:c>
      <x:c r="B6" s="10" t="str">
        <x:v>MKT-D-01</x:v>
      </x:c>
      <x:c r="C6" s="10" t="str">
        <x:v>Discovery audit</x:v>
      </x:c>
      <x:c r="D6" s="10" t="str">
        <x:v>High</x:v>
      </x:c>
      <x:c r="E6" s="10" t="str">
        <x:v>Historical presentation lacks traceable evidence or detailed controls for all advertised claims; current scope and specifications replace it.</x:v>
      </x:c>
      <x:c r="F6" s="10" t="str">
        <x:v>Current narrative corrected; legacy evidence retained</x:v>
      </x:c>
      <x:c r="G6" s="10" t="str">
        <x:v>Marketplace Operations Manager</x:v>
      </x:c>
      <x:c r="H6" s="10" t="str">
        <x:v>Compare historical README / source schema to current source profile.</x:v>
      </x:c>
      <x:c r="I6" s="10" t="str">
        <x:v>Do not claim production approval. Review revised scope and remaining limitations.</x:v>
      </x:c>
    </x:row>
    <x:row r="7" ht="54" customHeight="1">
      <x:c r="A7" s="10" t="str">
        <x:v>ECOM</x:v>
      </x:c>
      <x:c r="B7" s="10" t="str">
        <x:v>ECOM-D-01</x:v>
      </x:c>
      <x:c r="C7" s="10" t="str">
        <x:v>Discovery audit</x:v>
      </x:c>
      <x:c r="D7" s="10" t="str">
        <x:v>High</x:v>
      </x:c>
      <x:c r="E7" s="10" t="str">
        <x:v>Historical presentation lacks traceable evidence or detailed controls for all advertised claims; current scope and specifications replace it.</x:v>
      </x:c>
      <x:c r="F7" s="10" t="str">
        <x:v>Current narrative corrected; legacy evidence retained</x:v>
      </x:c>
      <x:c r="G7" s="10" t="str">
        <x:v>Checkout Product Manager</x:v>
      </x:c>
      <x:c r="H7" s="10" t="str">
        <x:v>Compare historical README / source schema to current source profile.</x:v>
      </x:c>
      <x:c r="I7" s="10" t="str">
        <x:v>Do not claim production approval. Review revised scope and remaining limitations.</x:v>
      </x:c>
    </x:row>
    <x:row r="8" ht="54" customHeight="1">
      <x:c r="A8" s="10" t="str">
        <x:v>FIN</x:v>
      </x:c>
      <x:c r="B8" s="10" t="str">
        <x:v>FIN-D-01</x:v>
      </x:c>
      <x:c r="C8" s="10" t="str">
        <x:v>Discovery audit</x:v>
      </x:c>
      <x:c r="D8" s="10" t="str">
        <x:v>High</x:v>
      </x:c>
      <x:c r="E8" s="10" t="str">
        <x:v>Historical presentation lacks traceable evidence or detailed controls for all advertised claims; current scope and specifications replace it.</x:v>
      </x:c>
      <x:c r="F8" s="10" t="str">
        <x:v>Current narrative corrected; legacy evidence retained</x:v>
      </x:c>
      <x:c r="G8" s="10" t="str">
        <x:v>FP&amp;A Manager</x:v>
      </x:c>
      <x:c r="H8" s="10" t="str">
        <x:v>Compare historical README / source schema to current source profile.</x:v>
      </x:c>
      <x:c r="I8" s="10" t="str">
        <x:v>Do not claim production approval. Review revised scope and remaining limitations.</x:v>
      </x:c>
    </x:row>
    <x:row r="9" ht="54" customHeight="1">
      <x:c r="A9" s="10" t="str">
        <x:v>ADS</x:v>
      </x:c>
      <x:c r="B9" s="10" t="str">
        <x:v>ADS-D-01</x:v>
      </x:c>
      <x:c r="C9" s="10" t="str">
        <x:v>Discovery audit</x:v>
      </x:c>
      <x:c r="D9" s="10" t="str">
        <x:v>High</x:v>
      </x:c>
      <x:c r="E9" s="10" t="str">
        <x:v>Historical presentation lacks traceable evidence or detailed controls for all advertised claims; current scope and specifications replace it.</x:v>
      </x:c>
      <x:c r="F9" s="10" t="str">
        <x:v>Current narrative corrected; legacy evidence retained</x:v>
      </x:c>
      <x:c r="G9" s="10" t="str">
        <x:v>Marketing Operations Manager</x:v>
      </x:c>
      <x:c r="H9" s="10" t="str">
        <x:v>Compare historical README / source schema to current source profile.</x:v>
      </x:c>
      <x:c r="I9" s="10" t="str">
        <x:v>Do not claim production approval. Review revised scope and remaining limitations.</x:v>
      </x:c>
    </x:row>
    <x:row r="10" ht="54" customHeight="1">
      <x:c r="A10" s="10" t="str">
        <x:v>REG</x:v>
      </x:c>
      <x:c r="B10" s="10" t="str">
        <x:v>REG-D-01</x:v>
      </x:c>
      <x:c r="C10" s="10" t="str">
        <x:v>Discovery audit</x:v>
      </x:c>
      <x:c r="D10" s="10" t="str">
        <x:v>High</x:v>
      </x:c>
      <x:c r="E10" s="10" t="str">
        <x:v>Historical presentation lacks traceable evidence or detailed controls for all advertised claims; current scope and specifications replace it.</x:v>
      </x:c>
      <x:c r="F10" s="10" t="str">
        <x:v>Current narrative corrected; legacy evidence retained</x:v>
      </x:c>
      <x:c r="G10" s="10" t="str">
        <x:v>Sales Operations Manager</x:v>
      </x:c>
      <x:c r="H10" s="10" t="str">
        <x:v>Compare historical README / source schema to current source profile.</x:v>
      </x:c>
      <x:c r="I10" s="10" t="str">
        <x:v>Do not claim production approval. Review revised scope and remaining limitations.</x:v>
      </x:c>
    </x:row>
    <x:row r="11" ht="54" customHeight="1">
      <x:c r="A11" s="10" t="str">
        <x:v>CRM</x:v>
      </x:c>
      <x:c r="B11" s="10" t="str">
        <x:v>CRM-D-01</x:v>
      </x:c>
      <x:c r="C11" s="10" t="str">
        <x:v>Discovery audit</x:v>
      </x:c>
      <x:c r="D11" s="10" t="str">
        <x:v>High</x:v>
      </x:c>
      <x:c r="E11" s="10" t="str">
        <x:v>Historical presentation lacks traceable evidence or detailed controls for all advertised claims; current scope and specifications replace it.</x:v>
      </x:c>
      <x:c r="F11" s="10" t="str">
        <x:v>Current narrative corrected; legacy evidence retained</x:v>
      </x:c>
      <x:c r="G11" s="10" t="str">
        <x:v>Sales Operations Manager</x:v>
      </x:c>
      <x:c r="H11" s="10" t="str">
        <x:v>Compare historical README / source schema to current source profile.</x:v>
      </x:c>
      <x:c r="I11" s="10" t="str">
        <x:v>Do not claim production approval. Review revised scope and remaining limitations.</x:v>
      </x:c>
    </x:row>
  </x:sheetData>
  <x:pageMargins left="0.7" right="0.7" top="0.75" bottom="0.75" header="0.3" footer="0.3"/>
  <x:tableParts count="1">
    <x:tablePart xmlns:r="http://schemas.openxmlformats.org/officeDocument/2006/relationships" r:id="Reebd3bc077034b24"/>
  </x:tableParts>
</x:worksheet>
</file>

<file path=xl/worksheets/sheet8.xml><?xml version="1.0" encoding="utf-8"?>
<x:worksheet xmlns:x="http://schemas.openxmlformats.org/spreadsheetml/2006/main">
  <x:sheetPr>
    <x:tabColor rgb="FF6F8191"/>
  </x:sheetPr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25" customHeight="1">
      <x:c r="A1" s="2"/>
      <x:c r="B1" s="2"/>
      <x:c r="C1" s="2"/>
      <x:c r="D1" s="2"/>
    </x:row>
    <x:row r="2" ht="25" customHeight="1">
      <x:c r="A2" s="3" t="str">
        <x:v>Delivery workbook | operating guidance</x:v>
      </x:c>
      <x:c r="B2" s="2"/>
      <x:c r="C2" s="2"/>
      <x:c r="D2" s="2"/>
    </x:row>
    <x:row r="3" ht="25" customHeight="1">
      <x:c r="A3" s="4"/>
      <x:c r="B3" s="4"/>
      <x:c r="C3" s="4"/>
      <x:c r="D3" s="4"/>
    </x:row>
    <x:row r="4" ht="25" customHeight="1">
      <x:c r="A4" s="2"/>
      <x:c r="B4" s="2"/>
      <x:c r="C4" s="2"/>
      <x:c r="D4" s="2"/>
    </x:row>
    <x:row r="5" ht="30" customHeight="1">
      <x:c r="A5" s="19" t="str">
        <x:v>Topic</x:v>
      </x:c>
      <x:c r="B5" s="19" t="str">
        <x:v>Rule</x:v>
      </x:c>
      <x:c r="C5" s="2"/>
      <x:c r="D5" s="2"/>
    </x:row>
    <x:row r="6" ht="68" customHeight="1">
      <x:c r="A6" s="10" t="str">
        <x:v>Purpose</x:v>
      </x:c>
      <x:c r="B6" s="10" t="str">
        <x:v>Six-project BA portfolio delivery pack; business UAT is planned, not claimed as executed.</x:v>
      </x:c>
      <x:c r="C6" s="2"/>
      <x:c r="D6" s="2"/>
    </x:row>
    <x:row r="7" ht="68" customHeight="1">
      <x:c r="A7" s="10" t="str">
        <x:v>Readiness</x:v>
      </x:c>
      <x:c r="B7" s="10" t="str">
        <x:v>Every linked UAT test must pass with actual result, evidence location, named tester and execution date. Requirement also needs Approved, reviewer and approval date.</x:v>
      </x:c>
      <x:c r="C7" s="2"/>
      <x:c r="D7" s="2"/>
    </x:row>
    <x:row r="8" ht="68" customHeight="1">
      <x:c r="A8" s="10" t="str">
        <x:v>Gap closure</x:v>
      </x:c>
      <x:c r="B8" s="10" t="str">
        <x:v>Closed status requires closure evidence, reviewer and closed date. Project release position also requires every gap closure gate ready. Deferred gaps remain open for this conservative review rule.</x:v>
      </x:c>
      <x:c r="C8" s="2"/>
      <x:c r="D8" s="2"/>
    </x:row>
    <x:row r="9" ht="68" customHeight="1">
      <x:c r="A9" s="10" t="str">
        <x:v>Dates</x:v>
      </x:c>
      <x:c r="B9" s="10" t="str">
        <x:v>Report date is editable. Due dates are intentionally blank; set agreed deadlines before relying on overdue alerts.</x:v>
      </x:c>
      <x:c r="C9" s="2"/>
      <x:c r="D9" s="2"/>
    </x:row>
    <x:row r="10" ht="68" customHeight="1">
      <x:c r="A10" s="10" t="str">
        <x:v>Inputs</x:v>
      </x:c>
      <x:c r="B10" s="10" t="str">
        <x:v>Amber cells are execution/approval inputs. Filters on each native Excel table support operational review. Gray cells contain formulas.</x:v>
      </x:c>
      <x:c r="C10" s="2"/>
      <x:c r="D10" s="2"/>
    </x:row>
    <x:row r="11" ht="68" customHeight="1">
      <x:c r="A11" s="10" t="str">
        <x:v>Source</x:v>
      </x:c>
      <x:c r="B11" s="10" t="str">
        <x:v>Project Delivery CSV files supply requirements, UAT plans, detailed gaps, RAID, change and defect records. Original data and historical workbooks remain in Data and Legacy.</x:v>
      </x:c>
      <x:c r="C11" s="2"/>
      <x:c r="D11" s="2"/>
    </x:row>
    <x:row r="12" ht="68" customHeight="1">
      <x:c r="A12" s="10" t="str">
        <x:v>Synchronization</x:v>
      </x:c>
      <x:c r="B12" s="10" t="str">
        <x:v>Workbook edits do not sync to CSV files or the local system. Use one authoritative delivery log and reconcile changes manually.</x:v>
      </x:c>
      <x:c r="C12" s="2"/>
      <x:c r="D12" s="2"/>
    </x:row>
    <x:row r="13" ht="68" customHeight="1">
      <x:c r="A13" s="10" t="str">
        <x:v>Governance</x:v>
      </x:c>
      <x:c r="B13" s="10" t="str">
        <x:v>Excel cannot enforce independent reviewers or prevent manual formula edits. The supplied local application enforces roles and audit events.</x:v>
      </x:c>
      <x:c r="C13" s="2"/>
      <x:c r="D13" s="2"/>
    </x:row>
    <x:row r="14" ht="68" customHeight="1">
      <x:c r="A14" s="10" t="str">
        <x:v>Extension</x:v>
      </x:c>
      <x:c r="B14" s="10" t="str">
        <x:v>Formulas cover the supplied 48 requirements, 144 tests and 48 gaps. Extend formula/validation/summary ranges when adding records.</x:v>
      </x:c>
      <x:c r="C14" s="2"/>
      <x:c r="D14" s="2"/>
    </x:row>
    <x:row r="15" ht="25" customHeight="1">
      <x:c r="A15" s="2"/>
      <x:c r="B15" s="2"/>
      <x:c r="C15" s="2"/>
      <x:c r="D15" s="2"/>
    </x:row>
    <x:row r="16" ht="25" customHeight="1">
      <x:c r="A16" s="2"/>
      <x:c r="B16" s="2"/>
      <x:c r="C16" s="2"/>
      <x:c r="D16" s="2"/>
    </x:row>
    <x:row r="17" ht="25" customHeight="1">
      <x:c r="A17" s="2"/>
      <x:c r="B17" s="2"/>
      <x:c r="C17" s="2"/>
      <x:c r="D17" s="2"/>
    </x:row>
    <x:row r="18" ht="25" customHeight="1">
      <x:c r="A18" s="2"/>
      <x:c r="B18" s="2"/>
      <x:c r="C18" s="2"/>
      <x:c r="D18" s="2"/>
    </x:row>
    <x:row r="19" ht="25" customHeight="1">
      <x:c r="A19" s="2"/>
      <x:c r="B19" s="2"/>
      <x:c r="C19" s="2"/>
      <x:c r="D19" s="2"/>
    </x:row>
    <x:row r="20" ht="25" customHeight="1">
      <x:c r="A20" s="2"/>
      <x:c r="B20" s="2"/>
      <x:c r="C20" s="2"/>
      <x:c r="D20" s="2"/>
    </x:row>
    <x:row r="21" ht="25" customHeight="1">
      <x:c r="A21" s="2"/>
      <x:c r="B21" s="2"/>
      <x:c r="C21" s="2"/>
      <x:c r="D21" s="2"/>
    </x:row>
    <x:row r="22" ht="25" customHeight="1">
      <x:c r="A22" s="2"/>
      <x:c r="B22" s="2"/>
      <x:c r="C22" s="2"/>
      <x:c r="D22" s="2"/>
    </x:row>
    <x:row r="23" ht="25" customHeight="1">
      <x:c r="A23" s="2"/>
      <x:c r="B23" s="2"/>
      <x:c r="C23" s="2"/>
      <x:c r="D23" s="2"/>
    </x:row>
    <x:row r="24" ht="25" customHeight="1">
      <x:c r="A24" s="2"/>
      <x:c r="B24" s="2"/>
      <x:c r="C24" s="2"/>
      <x:c r="D24" s="2"/>
    </x:row>
    <x:row r="25" ht="25" customHeight="1">
      <x:c r="A25" s="2"/>
      <x:c r="B25" s="2"/>
      <x:c r="C25" s="2"/>
      <x:c r="D25" s="2"/>
    </x:row>
    <x:row r="26" ht="25" customHeight="1">
      <x:c r="A26" s="2"/>
      <x:c r="B26" s="2"/>
      <x:c r="C26" s="2"/>
      <x:c r="D26" s="2"/>
    </x:row>
  </x:sheetData>
  <x:pageMargins left="0.7" right="0.7" top="0.75" bottom="0.75" header="0.3" footer="0.3"/>
</x:worksheet>
</file>