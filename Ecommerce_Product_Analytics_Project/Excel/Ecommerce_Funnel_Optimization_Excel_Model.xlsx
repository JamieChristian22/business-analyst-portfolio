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17F37681-9F9A-5D42-85E2-DE598C53F845}" xr6:coauthVersionLast="47" xr6:coauthVersionMax="47" xr10:uidLastSave="{00000000-0000-0000-0000-000000000000}"/>
  <bookViews>
    <workbookView xWindow="0" yWindow="600" windowWidth="28800" windowHeight="16260" activeTab="2" xr2:uid="{00000000-000D-0000-FFFF-FFFF00000000}"/>
  </bookViews>
  <sheets>
    <sheet name="Executive_Dashboard" sheetId="1" r:id="rId1"/>
    <sheet name="Scenario_Comparison" sheetId="2" r:id="rId2"/>
    <sheet name="Forecast" sheetId="3" r:id="rId3"/>
    <sheet name="Sensitiv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B2" i="4"/>
  <c r="E5" i="2"/>
  <c r="F5" i="2" s="1"/>
  <c r="E4" i="2"/>
  <c r="F4" i="2" s="1"/>
  <c r="E3" i="2"/>
  <c r="F3" i="2" s="1"/>
  <c r="D6" i="1"/>
  <c r="D5" i="1"/>
  <c r="D4" i="1"/>
  <c r="D3" i="1"/>
</calcChain>
</file>

<file path=xl/sharedStrings.xml><?xml version="1.0" encoding="utf-8"?>
<sst xmlns="http://schemas.openxmlformats.org/spreadsheetml/2006/main" count="31" uniqueCount="27">
  <si>
    <t>Ecommerce Analytics Executive Dashboard</t>
  </si>
  <si>
    <t>Metric</t>
  </si>
  <si>
    <t>Value</t>
  </si>
  <si>
    <t>Target</t>
  </si>
  <si>
    <t>Status</t>
  </si>
  <si>
    <t>GMV</t>
  </si>
  <si>
    <t>Conversion Rate</t>
  </si>
  <si>
    <t>ROAS</t>
  </si>
  <si>
    <t>Profit Margin</t>
  </si>
  <si>
    <t>Scenario Comparison Model</t>
  </si>
  <si>
    <t>Scenario</t>
  </si>
  <si>
    <t>Price</t>
  </si>
  <si>
    <t>Traffic</t>
  </si>
  <si>
    <t>Revenue</t>
  </si>
  <si>
    <t>Profit</t>
  </si>
  <si>
    <t>Base</t>
  </si>
  <si>
    <t>Aggressive</t>
  </si>
  <si>
    <t>Conservative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</si>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</sst>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Growth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Forecast!$B$1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Forecast!$A$2:$A$9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Forecast!$B$2:$B$9</c:f>
              <c:numCache>
                <c:formatCode>General</c:formatCode>
                <c:ptCount val="8"/>
                <c:pt idx="0">
                  <c:v>40000</c:v>
                </c:pt>
                <c:pt idx="1">
                  <c:v>42000</c:v>
                </c:pt>
                <c:pt idx="2">
                  <c:v>45000</c:v>
                </c:pt>
                <c:pt idx="3">
                  <c:v>48000</c:v>
                </c:pt>
                <c:pt idx="4">
                  <c:v>52000</c:v>
                </c:pt>
                <c:pt idx="5">
                  <c:v>55000</c:v>
                </c:pt>
                <c:pt idx="6">
                  <c:v>59000</c:v>
                </c:pt>
                <c:pt idx="7">
                  <c:v>62000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6E-3D43-93E0-233C0436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Table2" displayName="ScenarioTable2" ref="A2:F5">
  <autoFilter ref="A2:F5" xr:uid="{00000000-0009-0000-0100-000001000000}"/>
  <tableColumns count="6">
    <tableColumn id="1" xr3:uid="{00000000-0010-0000-0000-000001000000}" name="Scenario"/>
    <tableColumn id="2" xr3:uid="{00000000-0010-0000-0000-000002000000}" name="Price"/>
    <tableColumn id="3" xr3:uid="{00000000-0010-0000-0000-000003000000}" name="Conversion Rate"/>
    <tableColumn id="4" xr3:uid="{00000000-0010-0000-0000-000004000000}" name="Traffic"/>
    <tableColumn id="5" xr3:uid="{00000000-0010-0000-0000-000005000000}" name="Revenue"/>
    <tableColumn id="6" xr3:uid="{00000000-0010-0000-0000-000006000000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D1"/>
    </sheetView>
  </sheetViews>
  <sheetFormatPr baseColWidth="10" defaultColWidth="8.83203125" defaultRowHeight="15" x14ac:dyDescent="0.2"/>
  <sheetData>
    <row r="1" spans="1:4" ht="21" x14ac:dyDescent="0.25">
      <c r="A1" s="6" t="s">
        <v>0</v>
      </c>
      <c r="B1" s="7"/>
      <c r="C1" s="7"/>
      <c r="D1" s="7"/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2" t="s">
        <v>5</v>
      </c>
      <c r="B3" s="3">
        <v>90000</v>
      </c>
      <c r="C3" s="3">
        <v>85000</v>
      </c>
      <c r="D3" s="2" t="str">
        <f>IF(B3&gt;=C3,"On Track","Below Target")</f>
        <v>On Track</v>
      </c>
    </row>
    <row r="4" spans="1:4" x14ac:dyDescent="0.2">
      <c r="A4" s="2" t="s">
        <v>6</v>
      </c>
      <c r="B4" s="4">
        <v>4.4999999999999998E-2</v>
      </c>
      <c r="C4" s="4">
        <v>0.04</v>
      </c>
      <c r="D4" s="2" t="str">
        <f>IF(B4&gt;=C4,"On Track","Below Target")</f>
        <v>On Track</v>
      </c>
    </row>
    <row r="5" spans="1:4" x14ac:dyDescent="0.2">
      <c r="A5" s="2" t="s">
        <v>7</v>
      </c>
      <c r="B5" s="4">
        <v>4</v>
      </c>
      <c r="C5" s="4">
        <v>3.5</v>
      </c>
      <c r="D5" s="2" t="str">
        <f>IF(B5&gt;=C5,"On Track","Below Target")</f>
        <v>On Track</v>
      </c>
    </row>
    <row r="6" spans="1:4" x14ac:dyDescent="0.2">
      <c r="A6" s="2" t="s">
        <v>8</v>
      </c>
      <c r="B6" s="4">
        <v>0.3</v>
      </c>
      <c r="C6" s="4">
        <v>0.25</v>
      </c>
      <c r="D6" s="2" t="str">
        <f>IF(B6&gt;=C6,"On Track","Below Target")</f>
        <v>On Track</v>
      </c>
    </row>
  </sheetData>
  <mergeCells count="1">
    <mergeCell ref="A1:D1"/>
  </mergeCells>
  <conditionalFormatting sqref="D3:D6">
    <cfRule type="cellIs" dxfId="1" priority="1" operator="equal">
      <formula>"On Track"</formula>
    </cfRule>
    <cfRule type="cellIs" dxfId="0" priority="2" operator="equal">
      <formula>"Below Target"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83203125" defaultRowHeight="15" x14ac:dyDescent="0.2"/>
  <cols>
    <col min="1" max="1" width="14" customWidth="1"/>
    <col min="3" max="3" width="16.33203125" customWidth="1"/>
    <col min="5" max="5" width="11.6640625" customWidth="1"/>
  </cols>
  <sheetData>
    <row r="1" spans="1:6" ht="19" x14ac:dyDescent="0.25">
      <c r="A1" s="5" t="s">
        <v>9</v>
      </c>
    </row>
    <row r="2" spans="1:6" x14ac:dyDescent="0.2">
      <c r="A2" t="s">
        <v>10</v>
      </c>
      <c r="B2" t="s">
        <v>11</v>
      </c>
      <c r="C2" t="s">
        <v>6</v>
      </c>
      <c r="D2" t="s">
        <v>12</v>
      </c>
      <c r="E2" t="s">
        <v>13</v>
      </c>
      <c r="F2" t="s">
        <v>14</v>
      </c>
    </row>
    <row r="3" spans="1:6" x14ac:dyDescent="0.2">
      <c r="A3" t="s">
        <v>15</v>
      </c>
      <c r="B3">
        <v>30</v>
      </c>
      <c r="C3">
        <v>0.04</v>
      </c>
      <c r="D3">
        <v>20000</v>
      </c>
      <c r="E3">
        <f>B3*C3*D3</f>
        <v>24000</v>
      </c>
      <c r="F3">
        <f>E3*0.3</f>
        <v>7200</v>
      </c>
    </row>
    <row r="4" spans="1:6" x14ac:dyDescent="0.2">
      <c r="A4" t="s">
        <v>16</v>
      </c>
      <c r="B4">
        <v>32</v>
      </c>
      <c r="C4">
        <v>0.05</v>
      </c>
      <c r="D4">
        <v>23000</v>
      </c>
      <c r="E4">
        <f>B4*C4*D4</f>
        <v>36800</v>
      </c>
      <c r="F4">
        <f>E4*0.3</f>
        <v>11040</v>
      </c>
    </row>
    <row r="5" spans="1:6" x14ac:dyDescent="0.2">
      <c r="A5" t="s">
        <v>17</v>
      </c>
      <c r="B5">
        <v>28</v>
      </c>
      <c r="C5">
        <v>3.5000000000000003E-2</v>
      </c>
      <c r="D5">
        <v>18000</v>
      </c>
      <c r="E5">
        <f>B5*C5*D5</f>
        <v>17640</v>
      </c>
      <c r="F5">
        <f>E5*0.3</f>
        <v>5292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B17" sqref="B17"/>
    </sheetView>
  </sheetViews>
  <sheetFormatPr baseColWidth="10" defaultColWidth="8.83203125" defaultRowHeight="15" x14ac:dyDescent="0.2"/>
  <sheetData>
    <row r="1" spans="1:2" x14ac:dyDescent="0.2">
      <c r="A1" s="2" t="s">
        <v>18</v>
      </c>
      <c r="B1" s="2" t="s">
        <v>13</v>
      </c>
    </row>
    <row r="2" spans="1:2" x14ac:dyDescent="0.2">
      <c r="A2" s="2" t="s">
        <v>19</v>
      </c>
      <c r="B2" s="2">
        <v>40000</v>
      </c>
    </row>
    <row r="3" spans="1:2" x14ac:dyDescent="0.2">
      <c r="A3" s="2" t="s">
        <v>20</v>
      </c>
      <c r="B3" s="2">
        <v>42000</v>
      </c>
    </row>
    <row r="4" spans="1:2" x14ac:dyDescent="0.2">
      <c r="A4" s="2" t="s">
        <v>21</v>
      </c>
      <c r="B4" s="2">
        <v>45000</v>
      </c>
    </row>
    <row r="5" spans="1:2" x14ac:dyDescent="0.2">
      <c r="A5" s="2" t="s">
        <v>22</v>
      </c>
      <c r="B5" s="2">
        <v>48000</v>
      </c>
    </row>
    <row r="6" spans="1:2" x14ac:dyDescent="0.2">
      <c r="A6" s="2" t="s">
        <v>23</v>
      </c>
      <c r="B6" s="2">
        <v>52000</v>
      </c>
    </row>
    <row r="7" spans="1:2" x14ac:dyDescent="0.2">
      <c r="A7" s="2" t="s">
        <v>24</v>
      </c>
      <c r="B7" s="2">
        <v>55000</v>
      </c>
    </row>
    <row r="8" spans="1:2" x14ac:dyDescent="0.2">
      <c r="A8" s="2" t="s">
        <v>25</v>
      </c>
      <c r="B8" s="2">
        <v>59000</v>
      </c>
    </row>
    <row r="9" spans="1:2" x14ac:dyDescent="0.2">
      <c r="A9" s="2" t="s">
        <v>26</v>
      </c>
      <c r="B9" s="2">
        <v>62000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3.5" customWidth="1"/>
  </cols>
  <sheetData>
    <row r="1" spans="1:2" x14ac:dyDescent="0.2">
      <c r="A1" s="2" t="s">
        <v>6</v>
      </c>
      <c r="B1" s="2" t="s">
        <v>13</v>
      </c>
    </row>
    <row r="2" spans="1:2" x14ac:dyDescent="0.2">
      <c r="A2" s="2">
        <v>0.03</v>
      </c>
      <c r="B2" s="2">
        <f>30*20000*A2</f>
        <v>18000</v>
      </c>
    </row>
    <row r="3" spans="1:2" x14ac:dyDescent="0.2">
      <c r="A3" s="2">
        <v>3.5000000000000003E-2</v>
      </c>
      <c r="B3" s="2">
        <f>30*20000*A3</f>
        <v>21000.000000000004</v>
      </c>
    </row>
    <row r="4" spans="1:2" x14ac:dyDescent="0.2">
      <c r="A4" s="2">
        <v>0.04</v>
      </c>
      <c r="B4" s="2">
        <f>30*20000*A4</f>
        <v>24000</v>
      </c>
    </row>
    <row r="5" spans="1:2" x14ac:dyDescent="0.2">
      <c r="A5" s="2">
        <v>4.4999999999999998E-2</v>
      </c>
      <c r="B5" s="2">
        <f>30*20000*A5</f>
        <v>27000</v>
      </c>
    </row>
    <row r="6" spans="1:2" x14ac:dyDescent="0.2">
      <c r="A6" s="2">
        <v>0.05</v>
      </c>
      <c r="B6" s="2">
        <f>30*20000*A6</f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Executive_Dashboard</vt:lpstr>
      <vt:lpstr>Scenario_Comparison</vt:lpstr>
      <vt:lpstr>Forecast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2026-02-23T17:40:20Z</dcterms:created>
  <dcterms:modified xsi:type="dcterms:W3CDTF">2026-02-23T17:42:44Z</dcterms:modified>
</cp:coreProperties>
</file>