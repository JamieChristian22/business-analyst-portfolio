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dfb5b214b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578d6201eacc48c7"/>
    <x:sheet xmlns:r="http://schemas.openxmlformats.org/officeDocument/2006/relationships" name="Requirements" sheetId="2" r:id="R58b954d8b9f54df0"/>
    <x:sheet xmlns:r="http://schemas.openxmlformats.org/officeDocument/2006/relationships" name="UAT" sheetId="3" r:id="Rff2834fbfcb5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#,##0"/>
  </x:numFmts>
  <x:fonts count="6">
    <x:font>
      <x:sz val="11"/>
      <x:name val="Carlito"/>
    </x:font>
    <x:font>
      <x:sz val="11"/>
      <x:color rgb="FF203349"/>
      <x:name val="Arial"/>
    </x:font>
    <x:font>
      <x:b/>
      <x:sz val="16"/>
      <x:color rgb="FF203349"/>
      <x:name val="Arial"/>
    </x:font>
    <x:font>
      <x:b/>
      <x:sz val="11"/>
      <x:color rgb="FFFFFFFF"/>
      <x:name val="Arial"/>
    </x:font>
    <x:font>
      <x:sz val="11"/>
      <x:color rgb="FF145AA8"/>
      <x:name val="Arial"/>
    </x:font>
    <x:font>
      <x:b/>
      <x:sz val="11"/>
      <x:color rgb="FF2033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34F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A8B9CD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1" fillId="0" borderId="0" xfId="0" applyNumberFormat="1" applyFont="1" applyFill="1" applyBorder="1"/>
    <x:xf numFmtId="201" fontId="5" fillId="0" borderId="1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b/>
        <x:color rgb="FF9C1D1D"/>
      </x:font>
      <x:fill>
        <x:patternFill patternType="solid">
          <x:bgColor rgb="FFFCE4D6"/>
        </x:patternFill>
      </x:fill>
    </x:dxf>
    <x:dxf>
      <x:font>
        <x:b/>
        <x:color rgb="FF9C1D1D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6db791c9d438f" /><Relationship Type="http://schemas.openxmlformats.org/officeDocument/2006/relationships/theme" Target="/xl/theme/theme1.xml" Id="R526905ee2d7640b3" /><Relationship Type="http://schemas.openxmlformats.org/officeDocument/2006/relationships/sharedStrings" Target="/xl/sharedStrings.xml" Id="R36fade2711414c31" /><Relationship Type="http://schemas.openxmlformats.org/officeDocument/2006/relationships/worksheet" Target="/xl/worksheets/sheet1.xml" Id="R578d6201eacc48c7" /><Relationship Type="http://schemas.openxmlformats.org/officeDocument/2006/relationships/worksheet" Target="/xl/worksheets/sheet2.xml" Id="R58b954d8b9f54df0" /><Relationship Type="http://schemas.openxmlformats.org/officeDocument/2006/relationships/worksheet" Target="/xl/worksheets/sheet3.xml" Id="Rff2834fbfcb5419c" /></Relationships>
</file>

<file path=xl/tables/table1.xml><?xml version="1.0" encoding="utf-8"?>
<x:table xmlns:x="http://schemas.openxmlformats.org/spreadsheetml/2006/main" id="1" name="RequirementsTable" displayName="RequirementsTable" ref="A5:N53" headerRowCount="1" totalsRowCount="0" totalsRowShown="0">
  <x:autoFilter ref="A5:N53"/>
  <x:tableColumns count="14">
    <x:tableColumn id="1" name="Project"/>
    <x:tableColumn id="2" name="Requirement ID"/>
    <x:tableColumn id="3" name="Requirement"/>
    <x:tableColumn id="4" name="Priority"/>
    <x:tableColumn id="5" name="Owner"/>
    <x:tableColumn id="6" name="Acceptance criteria"/>
    <x:tableColumn id="7" name="Story ID"/>
    <x:tableColumn id="8" name="UAT ID"/>
    <x:tableColumn id="9" name="Evidence"/>
    <x:tableColumn id="10" name="Delivery status"/>
    <x:tableColumn id="11" name="Reviewer"/>
    <x:tableColumn id="12" name="Review evidence"/>
    <x:tableColumn id="13" name="Business approval"/>
    <x:tableColumn id="14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TTable" displayName="UATTable" ref="A5:N149" headerRowCount="1" totalsRowCount="0" totalsRowShown="0">
  <x:autoFilter ref="A5:N149"/>
  <x:tableColumns count="14">
    <x:tableColumn id="1" name="Project"/>
    <x:tableColumn id="2" name="Test ID"/>
    <x:tableColumn id="3" name="Requirement ID"/>
    <x:tableColumn id="4" name="Scenario"/>
    <x:tableColumn id="5" name="Preconditions"/>
    <x:tableColumn id="6" name="Steps"/>
    <x:tableColumn id="7" name="Expected result"/>
    <x:tableColumn id="8" name="Execution status"/>
    <x:tableColumn id="9" name="Actual result"/>
    <x:tableColumn id="10" name="Defect ID"/>
    <x:tableColumn id="11" name="Tester"/>
    <x:tableColumn id="12" name="Execution date"/>
    <x:tableColumn id="13" name="Evidence location"/>
    <x:tableColumn id="14" name="Signo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ec3e53c9b84d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02e59c3acc488f" /></Relationships>
</file>

<file path=xl/worksheets/sheet1.xml><?xml version="1.0" encoding="utf-8"?>
<x:worksheet xmlns:x="http://schemas.openxmlformats.org/spreadsheetml/2006/main">
  <x:sheetPr>
    <x:tabColor rgb="FF17334F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Portfolio delivery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Independent portfolio simulations. Business UAT has not been executed.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 customHeight="1">
      <x:c r="A5" s="13" t="str">
        <x:v>Project</x:v>
      </x:c>
      <x:c r="B5" s="13" t="str">
        <x:v>Requirements</x:v>
      </x:c>
      <x:c r="C5" s="13" t="str">
        <x:v>Approved</x:v>
      </x:c>
      <x:c r="D5" s="13" t="str">
        <x:v>UAT cases</x:v>
      </x:c>
      <x:c r="E5" s="13" t="str">
        <x:v>Passed</x:v>
      </x:c>
      <x:c r="F5" s="13" t="str">
        <x:v>Failed</x:v>
      </x:c>
      <x:c r="G5" s="13" t="str">
        <x:v>Not executed</x:v>
      </x:c>
      <x:c r="H5" s="1"/>
      <x:c r="I5" s="1"/>
      <x:c r="J5" s="1"/>
      <x:c r="K5" s="1"/>
      <x:c r="L5" s="1"/>
      <x:c r="M5" s="1"/>
      <x:c r="N5" s="1"/>
      <x:c r="O5" s="1"/>
      <x:c r="P5" s="1"/>
    </x:row>
    <x:row r="6" ht="30" customHeight="1">
      <x:c r="A6" s="1" t="str">
        <x:v>MKT</x:v>
      </x:c>
      <x:c r="B6" s="18" t="n">
        <x:f>COUNTIFS(Requirements!$A$6:$A$53,$A6)</x:f>
        <x:v>8</x:v>
      </x:c>
      <x:c r="C6" s="18" t="n">
        <x:f>COUNTIFS(Requirements!$A$6:$A$53,$A6,Requirements!$M$6:$M$53,"Approved")</x:f>
        <x:v>0</x:v>
      </x:c>
      <x:c r="D6" s="18" t="n">
        <x:f>COUNTIFS(UAT!$A$6:$A$149,$A6)</x:f>
        <x:v>24</x:v>
      </x:c>
      <x:c r="E6" s="18" t="n">
        <x:f>COUNTIFS(UAT!$A$6:$A$149,$A6,UAT!$H$6:$H$149,"Passed")</x:f>
        <x:v>0</x:v>
      </x:c>
      <x:c r="F6" s="18" t="n">
        <x:f>COUNTIFS(UAT!$A$6:$A$149,$A6,UAT!$H$6:$H$149,"Failed")</x:f>
        <x:v>0</x:v>
      </x:c>
      <x:c r="G6" s="18" t="n">
        <x:f>COUNTIFS(UAT!$A$6:$A$149,$A6,UAT!$H$6:$H$149,"Not executed")</x:f>
        <x:v>24</x:v>
      </x:c>
      <x:c r="H6" s="1"/>
      <x:c r="I6" s="1"/>
      <x:c r="J6" s="1"/>
      <x:c r="K6" s="1"/>
      <x:c r="L6" s="1"/>
      <x:c r="M6" s="1"/>
      <x:c r="N6" s="1"/>
      <x:c r="O6" s="1"/>
      <x:c r="P6" s="1"/>
    </x:row>
    <x:row r="7" ht="30" customHeight="1">
      <x:c r="A7" s="1" t="str">
        <x:v>ECOM</x:v>
      </x:c>
      <x:c r="B7" s="18" t="n">
        <x:f>COUNTIFS(Requirements!$A$6:$A$53,$A7)</x:f>
        <x:v>8</x:v>
      </x:c>
      <x:c r="C7" s="18" t="n">
        <x:f>COUNTIFS(Requirements!$A$6:$A$53,$A7,Requirements!$M$6:$M$53,"Approved")</x:f>
        <x:v>0</x:v>
      </x:c>
      <x:c r="D7" s="18" t="n">
        <x:f>COUNTIFS(UAT!$A$6:$A$149,$A7)</x:f>
        <x:v>24</x:v>
      </x:c>
      <x:c r="E7" s="18" t="n">
        <x:f>COUNTIFS(UAT!$A$6:$A$149,$A7,UAT!$H$6:$H$149,"Passed")</x:f>
        <x:v>0</x:v>
      </x:c>
      <x:c r="F7" s="18" t="n">
        <x:f>COUNTIFS(UAT!$A$6:$A$149,$A7,UAT!$H$6:$H$149,"Failed")</x:f>
        <x:v>0</x:v>
      </x:c>
      <x:c r="G7" s="18" t="n">
        <x:f>COUNTIFS(UAT!$A$6:$A$149,$A7,UAT!$H$6:$H$149,"Not executed")</x:f>
        <x:v>24</x:v>
      </x:c>
      <x:c r="H7" s="1"/>
      <x:c r="I7" s="1"/>
      <x:c r="J7" s="1"/>
      <x:c r="K7" s="1"/>
      <x:c r="L7" s="1"/>
      <x:c r="M7" s="1"/>
      <x:c r="N7" s="1"/>
      <x:c r="O7" s="1"/>
      <x:c r="P7" s="1"/>
    </x:row>
    <x:row r="8" ht="30" customHeight="1">
      <x:c r="A8" s="1" t="str">
        <x:v>FIN</x:v>
      </x:c>
      <x:c r="B8" s="18" t="n">
        <x:f>COUNTIFS(Requirements!$A$6:$A$53,$A8)</x:f>
        <x:v>8</x:v>
      </x:c>
      <x:c r="C8" s="18" t="n">
        <x:f>COUNTIFS(Requirements!$A$6:$A$53,$A8,Requirements!$M$6:$M$53,"Approved")</x:f>
        <x:v>0</x:v>
      </x:c>
      <x:c r="D8" s="18" t="n">
        <x:f>COUNTIFS(UAT!$A$6:$A$149,$A8)</x:f>
        <x:v>24</x:v>
      </x:c>
      <x:c r="E8" s="18" t="n">
        <x:f>COUNTIFS(UAT!$A$6:$A$149,$A8,UAT!$H$6:$H$149,"Passed")</x:f>
        <x:v>0</x:v>
      </x:c>
      <x:c r="F8" s="18" t="n">
        <x:f>COUNTIFS(UAT!$A$6:$A$149,$A8,UAT!$H$6:$H$149,"Failed")</x:f>
        <x:v>0</x:v>
      </x:c>
      <x:c r="G8" s="18" t="n">
        <x:f>COUNTIFS(UAT!$A$6:$A$149,$A8,UAT!$H$6:$H$149,"Not executed")</x:f>
        <x:v>24</x:v>
      </x:c>
      <x:c r="H8" s="1"/>
      <x:c r="I8" s="1"/>
      <x:c r="J8" s="1"/>
      <x:c r="K8" s="1"/>
      <x:c r="L8" s="1"/>
      <x:c r="M8" s="1"/>
      <x:c r="N8" s="1"/>
      <x:c r="O8" s="1"/>
      <x:c r="P8" s="1"/>
    </x:row>
    <x:row r="9" ht="30" customHeight="1">
      <x:c r="A9" s="1" t="str">
        <x:v>ADS</x:v>
      </x:c>
      <x:c r="B9" s="18" t="n">
        <x:f>COUNTIFS(Requirements!$A$6:$A$53,$A9)</x:f>
        <x:v>8</x:v>
      </x:c>
      <x:c r="C9" s="18" t="n">
        <x:f>COUNTIFS(Requirements!$A$6:$A$53,$A9,Requirements!$M$6:$M$53,"Approved")</x:f>
        <x:v>0</x:v>
      </x:c>
      <x:c r="D9" s="18" t="n">
        <x:f>COUNTIFS(UAT!$A$6:$A$149,$A9)</x:f>
        <x:v>24</x:v>
      </x:c>
      <x:c r="E9" s="18" t="n">
        <x:f>COUNTIFS(UAT!$A$6:$A$149,$A9,UAT!$H$6:$H$149,"Passed")</x:f>
        <x:v>0</x:v>
      </x:c>
      <x:c r="F9" s="18" t="n">
        <x:f>COUNTIFS(UAT!$A$6:$A$149,$A9,UAT!$H$6:$H$149,"Failed")</x:f>
        <x:v>0</x:v>
      </x:c>
      <x:c r="G9" s="18" t="n">
        <x:f>COUNTIFS(UAT!$A$6:$A$149,$A9,UAT!$H$6:$H$149,"Not executed")</x:f>
        <x:v>24</x:v>
      </x:c>
      <x:c r="H9" s="1"/>
      <x:c r="I9" s="1"/>
      <x:c r="J9" s="1"/>
      <x:c r="K9" s="1"/>
      <x:c r="L9" s="1"/>
      <x:c r="M9" s="1"/>
      <x:c r="N9" s="1"/>
      <x:c r="O9" s="1"/>
      <x:c r="P9" s="1"/>
    </x:row>
    <x:row r="10" ht="30" customHeight="1">
      <x:c r="A10" s="1" t="str">
        <x:v>REG</x:v>
      </x:c>
      <x:c r="B10" s="18" t="n">
        <x:f>COUNTIFS(Requirements!$A$6:$A$53,$A10)</x:f>
        <x:v>8</x:v>
      </x:c>
      <x:c r="C10" s="18" t="n">
        <x:f>COUNTIFS(Requirements!$A$6:$A$53,$A10,Requirements!$M$6:$M$53,"Approved")</x:f>
        <x:v>0</x:v>
      </x:c>
      <x:c r="D10" s="18" t="n">
        <x:f>COUNTIFS(UAT!$A$6:$A$149,$A10)</x:f>
        <x:v>24</x:v>
      </x:c>
      <x:c r="E10" s="18" t="n">
        <x:f>COUNTIFS(UAT!$A$6:$A$149,$A10,UAT!$H$6:$H$149,"Passed")</x:f>
        <x:v>0</x:v>
      </x:c>
      <x:c r="F10" s="18" t="n">
        <x:f>COUNTIFS(UAT!$A$6:$A$149,$A10,UAT!$H$6:$H$149,"Failed")</x:f>
        <x:v>0</x:v>
      </x:c>
      <x:c r="G10" s="18" t="n">
        <x:f>COUNTIFS(UAT!$A$6:$A$149,$A10,UAT!$H$6:$H$149,"Not executed")</x:f>
        <x:v>24</x:v>
      </x:c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30" customHeight="1">
      <x:c r="A11" s="1" t="str">
        <x:v>CRM</x:v>
      </x:c>
      <x:c r="B11" s="18" t="n">
        <x:f>COUNTIFS(Requirements!$A$6:$A$53,$A11)</x:f>
        <x:v>8</x:v>
      </x:c>
      <x:c r="C11" s="18" t="n">
        <x:f>COUNTIFS(Requirements!$A$6:$A$53,$A11,Requirements!$M$6:$M$53,"Approved")</x:f>
        <x:v>0</x:v>
      </x:c>
      <x:c r="D11" s="18" t="n">
        <x:f>COUNTIFS(UAT!$A$6:$A$149,$A11)</x:f>
        <x:v>24</x:v>
      </x:c>
      <x:c r="E11" s="18" t="n">
        <x:f>COUNTIFS(UAT!$A$6:$A$149,$A11,UAT!$H$6:$H$149,"Passed")</x:f>
        <x:v>0</x:v>
      </x:c>
      <x:c r="F11" s="18" t="n">
        <x:f>COUNTIFS(UAT!$A$6:$A$149,$A11,UAT!$H$6:$H$149,"Failed")</x:f>
        <x:v>0</x:v>
      </x:c>
      <x:c r="G11" s="18" t="n">
        <x:f>COUNTIFS(UAT!$A$6:$A$149,$A11,UAT!$H$6:$H$149,"Not executed")</x:f>
        <x:v>24</x:v>
      </x:c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30" customHeight="1">
      <x:c r="A12" s="15" t="str">
        <x:v>Total</x:v>
      </x:c>
      <x:c r="B12" s="19" t="n">
        <x:f>SUM(B6:B11)</x:f>
        <x:v>48</x:v>
      </x:c>
      <x:c r="C12" s="19" t="n">
        <x:f>SUM(C6:C11)</x:f>
        <x:v>0</x:v>
      </x:c>
      <x:c r="D12" s="19" t="n">
        <x:f>SUM(D6:D11)</x:f>
        <x:v>144</x:v>
      </x:c>
      <x:c r="E12" s="19" t="n">
        <x:f>SUM(E6:E11)</x:f>
        <x:v>0</x:v>
      </x:c>
      <x:c r="F12" s="19" t="n">
        <x:f>SUM(F6:F11)</x:f>
        <x:v>0</x:v>
      </x:c>
      <x:c r="G12" s="19" t="n">
        <x:f>SUM(G6:G11)</x:f>
        <x:v>144</x:v>
      </x:c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" t="str">
        <x:v>Editable inputs are amber. Record actual results and evidence before approving.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" t="str">
        <x:v>Summary counts update from the two registers. Passing UAT does not grant production approval.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" t="str">
        <x:v>This workbook is an editable copy. Changes do not synchronize to CSVs or Jira.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>
      <x:c r="A18" s="1" t="str">
        <x:v>All business approvals are pending. Local SQL verification is recorded separately in Quality.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 t="str">
        <x:v>To add records, extend table ranges and summary formula bounds together.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38" hidden="0" customWidth="1"/>
    <x:col min="4" max="4" width="13" hidden="0" customWidth="1"/>
    <x:col min="5" max="5" width="32" hidden="0" customWidth="1"/>
    <x:col min="6" max="6" width="85" hidden="0" customWidth="1"/>
    <x:col min="7" max="7" width="20" hidden="0" customWidth="1"/>
    <x:col min="8" max="8" width="24" hidden="0" customWidth="1"/>
    <x:col min="9" max="9" width="35" hidden="0" customWidth="1"/>
    <x:col min="10" max="10" width="44" hidden="0" customWidth="1"/>
    <x:col min="11" max="11" width="25" hidden="0" customWidth="1"/>
    <x:col min="12" max="12" width="45" hidden="0" customWidth="1"/>
    <x:col min="13" max="13" width="20" hidden="0" customWidth="1"/>
    <x:col min="14" max="14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Requirements and traceability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Source: current project Delivery/requirements_traceability.csv registers. Approval inputs in column M.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2" customHeight="1">
      <x:c r="A5" s="7" t="str">
        <x:v>Project</x:v>
      </x:c>
      <x:c r="B5" s="7" t="str">
        <x:v>Requirement ID</x:v>
      </x:c>
      <x:c r="C5" s="7" t="str">
        <x:v>Requirement</x:v>
      </x:c>
      <x:c r="D5" s="7" t="str">
        <x:v>Priority</x:v>
      </x:c>
      <x:c r="E5" s="7" t="str">
        <x:v>Owner</x:v>
      </x:c>
      <x:c r="F5" s="7" t="str">
        <x:v>Acceptance criteria</x:v>
      </x:c>
      <x:c r="G5" s="7" t="str">
        <x:v>Story ID</x:v>
      </x:c>
      <x:c r="H5" s="7" t="str">
        <x:v>UAT ID</x:v>
      </x:c>
      <x:c r="I5" s="7" t="str">
        <x:v>Evidence</x:v>
      </x:c>
      <x:c r="J5" s="7" t="str">
        <x:v>Delivery status</x:v>
      </x:c>
      <x:c r="K5" s="7" t="str">
        <x:v>Reviewer</x:v>
      </x:c>
      <x:c r="L5" s="7" t="str">
        <x:v>Review evidence</x:v>
      </x:c>
      <x:c r="M5" s="7" t="str">
        <x:v>Business approval</x:v>
      </x:c>
      <x:c r="N5" s="7" t="str">
        <x:v>Next action</x:v>
      </x:c>
      <x:c r="O5" s="1"/>
      <x:c r="P5" s="1"/>
    </x:row>
    <x:row r="6" ht="64" customHeight="1">
      <x:c r="A6" s="9" t="str">
        <x:v>MKT</x:v>
      </x:c>
      <x:c r="B6" s="9" t="str">
        <x:v>MKT-REQ-01</x:v>
      </x:c>
      <x:c r="C6" s="9" t="str">
        <x:v>Ingest marketplace records</x:v>
      </x:c>
      <x:c r="D6" s="9" t="str">
        <x:v>Must</x:v>
      </x:c>
      <x:c r="E6" s="9" t="str">
        <x:v>Marketplace Operations Manager</x:v>
      </x:c>
      <x:c r="F6" s="9" t="str">
        <x:v>Every source record has one source_row and the aggregate GMV reconciles within $0.01.</x:v>
      </x:c>
      <x:c r="G6" s="9" t="str">
        <x:v>MKT-US-01</x:v>
      </x:c>
      <x:c r="H6" s="9" t="str">
        <x:v>MKT-UAT-01-A</x:v>
      </x:c>
      <x:c r="I6" s="9" t="str">
        <x:v>Analysis/Q01.csv</x:v>
      </x:c>
      <x:c r="J6" s="9" t="str">
        <x:v>Analysis prototype delivered</x:v>
      </x:c>
      <x:c r="K6" s="11" t="str"/>
      <x:c r="L6" s="11" t="str"/>
      <x:c r="M6" s="11" t="str">
        <x:v>Pending</x:v>
      </x:c>
      <x:c r="N6" s="11" t="str"/>
      <x:c r="O6" s="1"/>
      <x:c r="P6" s="1"/>
    </x:row>
    <x:row r="7" ht="64" customHeight="1">
      <x:c r="A7" s="9" t="str">
        <x:v>MKT</x:v>
      </x:c>
      <x:c r="B7" s="9" t="str">
        <x:v>MKT-REQ-02</x:v>
      </x:c>
      <x:c r="C7" s="9" t="str">
        <x:v>Separate GMV from platform revenue</x:v>
      </x:c>
      <x:c r="D7" s="9" t="str">
        <x:v>Must</x:v>
      </x:c>
      <x:c r="E7" s="9" t="str">
        <x:v>Marketplace Operations Manager</x:v>
      </x:c>
      <x:c r="F7" s="9" t="str">
        <x:v>Portfolio totals match Q01 and neither measure is described as profit.</x:v>
      </x:c>
      <x:c r="G7" s="9" t="str">
        <x:v>MKT-US-02</x:v>
      </x:c>
      <x:c r="H7" s="9" t="str">
        <x:v>MKT-UAT-02-A</x:v>
      </x:c>
      <x:c r="I7" s="9" t="str">
        <x:v>Analysis/Q01.csv</x:v>
      </x:c>
      <x:c r="J7" s="9" t="str">
        <x:v>Analysis prototype delivered</x:v>
      </x:c>
      <x:c r="K7" s="11" t="str"/>
      <x:c r="L7" s="11" t="str"/>
      <x:c r="M7" s="11" t="str">
        <x:v>Pending</x:v>
      </x:c>
      <x:c r="N7" s="11" t="str"/>
      <x:c r="O7" s="1"/>
      <x:c r="P7" s="1"/>
    </x:row>
    <x:row r="8" ht="64" customHeight="1">
      <x:c r="A8" s="9" t="str">
        <x:v>MKT</x:v>
      </x:c>
      <x:c r="B8" s="9" t="str">
        <x:v>MKT-REQ-03</x:v>
      </x:c>
      <x:c r="C8" s="9" t="str">
        <x:v>Calculate weighted take rate</x:v>
      </x:c>
      <x:c r="D8" s="9" t="str">
        <x:v>Must</x:v>
      </x:c>
      <x:c r="E8" s="9" t="str">
        <x:v>Marketplace Operations Manager</x:v>
      </x:c>
      <x:c r="F8" s="9" t="str">
        <x:v>A two-row fixture with unequal GMV produces the ratio of sums; zero GMV returns null.</x:v>
      </x:c>
      <x:c r="G8" s="9" t="str">
        <x:v>MKT-US-03</x:v>
      </x:c>
      <x:c r="H8" s="9" t="str">
        <x:v>MKT-UAT-03-A</x:v>
      </x:c>
      <x:c r="I8" s="9" t="str">
        <x:v>Analysis/Q02.csv</x:v>
      </x:c>
      <x:c r="J8" s="9" t="str">
        <x:v>Analysis prototype delivered</x:v>
      </x:c>
      <x:c r="K8" s="11" t="str"/>
      <x:c r="L8" s="11" t="str"/>
      <x:c r="M8" s="11" t="str">
        <x:v>Pending</x:v>
      </x:c>
      <x:c r="N8" s="11" t="str"/>
      <x:c r="O8" s="1"/>
      <x:c r="P8" s="1"/>
    </x:row>
    <x:row r="9" ht="64" customHeight="1">
      <x:c r="A9" s="9" t="str">
        <x:v>MKT</x:v>
      </x:c>
      <x:c r="B9" s="9" t="str">
        <x:v>MKT-REQ-04</x:v>
      </x:c>
      <x:c r="C9" s="9" t="str">
        <x:v>Review seller concentration</x:v>
      </x:c>
      <x:c r="D9" s="9" t="str">
        <x:v>Must</x:v>
      </x:c>
      <x:c r="E9" s="9" t="str">
        <x:v>Marketplace Operations Manager</x:v>
      </x:c>
      <x:c r="F9" s="9" t="str">
        <x:v>Seller GMV sums to the portfolio GMV; all shares sum to 1 within tolerance.</x:v>
      </x:c>
      <x:c r="G9" s="9" t="str">
        <x:v>MKT-US-04</x:v>
      </x:c>
      <x:c r="H9" s="9" t="str">
        <x:v>MKT-UAT-04-A</x:v>
      </x:c>
      <x:c r="I9" s="9" t="str">
        <x:v>Analysis/Q03.csv</x:v>
      </x:c>
      <x:c r="J9" s="9" t="str">
        <x:v>Analysis prototype delivered</x:v>
      </x:c>
      <x:c r="K9" s="11" t="str"/>
      <x:c r="L9" s="11" t="str"/>
      <x:c r="M9" s="11" t="str">
        <x:v>Pending</x:v>
      </x:c>
      <x:c r="N9" s="11" t="str"/>
      <x:c r="O9" s="1"/>
      <x:c r="P9" s="1"/>
    </x:row>
    <x:row r="10" ht="64" customHeight="1">
      <x:c r="A10" s="9" t="str">
        <x:v>MKT</x:v>
      </x:c>
      <x:c r="B10" s="9" t="str">
        <x:v>MKT-REQ-05</x:v>
      </x:c>
      <x:c r="C10" s="9" t="str">
        <x:v>Identify product contribution</x:v>
      </x:c>
      <x:c r="D10" s="9" t="str">
        <x:v>Should</x:v>
      </x:c>
      <x:c r="E10" s="9" t="str">
        <x:v>Marketplace Operations Manager</x:v>
      </x:c>
      <x:c r="F10" s="9" t="str">
        <x:v>Cumulative share is nondecreasing and the final row reaches 1.</x:v>
      </x:c>
      <x:c r="G10" s="9" t="str">
        <x:v>MKT-US-05</x:v>
      </x:c>
      <x:c r="H10" s="9" t="str">
        <x:v>MKT-UAT-05-A</x:v>
      </x:c>
      <x:c r="I10" s="9" t="str">
        <x:v>Analysis/Q04.csv</x:v>
      </x:c>
      <x:c r="J10" s="9" t="str">
        <x:v>Analysis prototype delivered</x:v>
      </x:c>
      <x:c r="K10" s="11" t="str"/>
      <x:c r="L10" s="11" t="str"/>
      <x:c r="M10" s="11" t="str">
        <x:v>Pending</x:v>
      </x:c>
      <x:c r="N10" s="11" t="str"/>
      <x:c r="O10" s="1"/>
      <x:c r="P10" s="1"/>
    </x:row>
    <x:row r="11" ht="64" customHeight="1">
      <x:c r="A11" s="9" t="str">
        <x:v>MKT</x:v>
      </x:c>
      <x:c r="B11" s="9" t="str">
        <x:v>MKT-REQ-06</x:v>
      </x:c>
      <x:c r="C11" s="9" t="str">
        <x:v>Show monthly changes</x:v>
      </x:c>
      <x:c r="D11" s="9" t="str">
        <x:v>Should</x:v>
      </x:c>
      <x:c r="E11" s="9" t="str">
        <x:v>Marketplace Operations Manager</x:v>
      </x:c>
      <x:c r="F11" s="9" t="str">
        <x:v>First month has no prior comparison; months sort chronologically.</x:v>
      </x:c>
      <x:c r="G11" s="9" t="str">
        <x:v>MKT-US-06</x:v>
      </x:c>
      <x:c r="H11" s="9" t="str">
        <x:v>MKT-UAT-06-A</x:v>
      </x:c>
      <x:c r="I11" s="9" t="str">
        <x:v>Analysis/Q02.csv</x:v>
      </x:c>
      <x:c r="J11" s="9" t="str">
        <x:v>Analysis prototype delivered</x:v>
      </x:c>
      <x:c r="K11" s="11" t="str"/>
      <x:c r="L11" s="11" t="str"/>
      <x:c r="M11" s="11" t="str">
        <x:v>Pending</x:v>
      </x:c>
      <x:c r="N11" s="11" t="str"/>
      <x:c r="O11" s="1"/>
      <x:c r="P11" s="1"/>
    </x:row>
    <x:row r="12" ht="64" customHeight="1">
      <x:c r="A12" s="9" t="str">
        <x:v>MKT</x:v>
      </x:c>
      <x:c r="B12" s="9" t="str">
        <x:v>MKT-REQ-07</x:v>
      </x:c>
      <x:c r="C12" s="9" t="str">
        <x:v>Govern extracts and access</x:v>
      </x:c>
      <x:c r="D12" s="9" t="str">
        <x:v>Must</x:v>
      </x:c>
      <x:c r="E12" s="9" t="str">
        <x:v>Marketplace Operations Manager</x:v>
      </x:c>
      <x:c r="F12" s="9" t="str">
        <x:v>A future role test denies viewer export and records an audit event; current CSV prototype is local only.</x:v>
      </x:c>
      <x:c r="G12" s="9" t="str">
        <x:v>MKT-US-07</x:v>
      </x:c>
      <x:c r="H12" s="9" t="str">
        <x:v>MKT-UAT-07-A</x:v>
      </x:c>
      <x:c r="I12" s="9" t="str">
        <x:v>Docs/07_BI_and_System_Design.md</x:v>
      </x:c>
      <x:c r="J12" s="9" t="str">
        <x:v>Design specified; implementation pending</x:v>
      </x:c>
      <x:c r="K12" s="11" t="str"/>
      <x:c r="L12" s="11" t="str"/>
      <x:c r="M12" s="11" t="str">
        <x:v>Pending</x:v>
      </x:c>
      <x:c r="N12" s="11" t="str"/>
      <x:c r="O12" s="1"/>
      <x:c r="P12" s="1"/>
    </x:row>
    <x:row r="13" ht="64" customHeight="1">
      <x:c r="A13" s="9" t="str">
        <x:v>MKT</x:v>
      </x:c>
      <x:c r="B13" s="9" t="str">
        <x:v>MKT-REQ-08</x:v>
      </x:c>
      <x:c r="C13" s="9" t="str">
        <x:v>Explain review actions</x:v>
      </x:c>
      <x:c r="D13" s="9" t="str">
        <x:v>Should</x:v>
      </x:c>
      <x:c r="E13" s="9" t="str">
        <x:v>Marketplace Operations Manager</x:v>
      </x:c>
      <x:c r="F13" s="9" t="str">
        <x:v>Every recommendation identifies an owner, supporting result, uncertainty, and next validation step.</x:v>
      </x:c>
      <x:c r="G13" s="9" t="str">
        <x:v>MKT-US-08</x:v>
      </x:c>
      <x:c r="H13" s="9" t="str">
        <x:v>MKT-UAT-08-A</x:v>
      </x:c>
      <x:c r="I13" s="9" t="str">
        <x:v>Analysis/Q03.csv</x:v>
      </x:c>
      <x:c r="J13" s="9" t="str">
        <x:v>Analysis prototype delivered</x:v>
      </x:c>
      <x:c r="K13" s="11" t="str"/>
      <x:c r="L13" s="11" t="str"/>
      <x:c r="M13" s="11" t="str">
        <x:v>Pending</x:v>
      </x:c>
      <x:c r="N13" s="11" t="str"/>
      <x:c r="O13" s="1"/>
      <x:c r="P13" s="1"/>
    </x:row>
    <x:row r="14" ht="64" customHeight="1">
      <x:c r="A14" s="9" t="str">
        <x:v>ECOM</x:v>
      </x:c>
      <x:c r="B14" s="9" t="str">
        <x:v>ECOM-REQ-01</x:v>
      </x:c>
      <x:c r="C14" s="9" t="str">
        <x:v>Preserve anonymous observations</x:v>
      </x:c>
      <x:c r="D14" s="9" t="str">
        <x:v>Must</x:v>
      </x:c>
      <x:c r="E14" s="9" t="str">
        <x:v>Checkout Product Manager</x:v>
      </x:c>
      <x:c r="F14" s="9" t="str">
        <x:v>Row count equals the source count; repeated-row count is profiled and disclosed.</x:v>
      </x:c>
      <x:c r="G14" s="9" t="str">
        <x:v>ECOM-US-01</x:v>
      </x:c>
      <x:c r="H14" s="9" t="str">
        <x:v>ECOM-UAT-01-A</x:v>
      </x:c>
      <x:c r="I14" s="9" t="str">
        <x:v>Analysis/Q01.csv</x:v>
      </x:c>
      <x:c r="J14" s="9" t="str">
        <x:v>Analysis prototype delivered</x:v>
      </x:c>
      <x:c r="K14" s="11" t="str"/>
      <x:c r="L14" s="11" t="str"/>
      <x:c r="M14" s="11" t="str">
        <x:v>Pending</x:v>
      </x:c>
      <x:c r="N14" s="11" t="str"/>
      <x:c r="O14" s="1"/>
      <x:c r="P14" s="1"/>
    </x:row>
    <x:row r="15" ht="64" customHeight="1">
      <x:c r="A15" s="9" t="str">
        <x:v>ECOM</x:v>
      </x:c>
      <x:c r="B15" s="9" t="str">
        <x:v>ECOM-REQ-02</x:v>
      </x:c>
      <x:c r="C15" s="9" t="str">
        <x:v>Define a monotonic funnel</x:v>
      </x:c>
      <x:c r="D15" s="9" t="str">
        <x:v>Must</x:v>
      </x:c>
      <x:c r="E15" s="9" t="str">
        <x:v>Checkout Product Manager</x:v>
      </x:c>
      <x:c r="F15" s="9" t="str">
        <x:v>Every violating observation is reported; the supplied file passes or is explicitly flagged.</x:v>
      </x:c>
      <x:c r="G15" s="9" t="str">
        <x:v>ECOM-US-02</x:v>
      </x:c>
      <x:c r="H15" s="9" t="str">
        <x:v>ECOM-UAT-02-A</x:v>
      </x:c>
      <x:c r="I15" s="9" t="str">
        <x:v>Analysis/Q01.csv</x:v>
      </x:c>
      <x:c r="J15" s="9" t="str">
        <x:v>Analysis prototype delivered</x:v>
      </x:c>
      <x:c r="K15" s="11" t="str"/>
      <x:c r="L15" s="11" t="str"/>
      <x:c r="M15" s="11" t="str">
        <x:v>Pending</x:v>
      </x:c>
      <x:c r="N15" s="11" t="str"/>
      <x:c r="O15" s="1"/>
      <x:c r="P15" s="1"/>
    </x:row>
    <x:row r="16" ht="64" customHeight="1">
      <x:c r="A16" s="9" t="str">
        <x:v>ECOM</x:v>
      </x:c>
      <x:c r="B16" s="9" t="str">
        <x:v>ECOM-REQ-03</x:v>
      </x:c>
      <x:c r="C16" s="9" t="str">
        <x:v>Calculate funnel rates</x:v>
      </x:c>
      <x:c r="D16" s="9" t="str">
        <x:v>Must</x:v>
      </x:c>
      <x:c r="E16" s="9" t="str">
        <x:v>Checkout Product Manager</x:v>
      </x:c>
      <x:c r="F16" s="9" t="str">
        <x:v>Zero denominators return null; a weighted fixture matches independently calculated results.</x:v>
      </x:c>
      <x:c r="G16" s="9" t="str">
        <x:v>ECOM-US-03</x:v>
      </x:c>
      <x:c r="H16" s="9" t="str">
        <x:v>ECOM-UAT-03-A</x:v>
      </x:c>
      <x:c r="I16" s="9" t="str">
        <x:v>Analysis/Q02.csv</x:v>
      </x:c>
      <x:c r="J16" s="9" t="str">
        <x:v>Analysis prototype delivered</x:v>
      </x:c>
      <x:c r="K16" s="11" t="str"/>
      <x:c r="L16" s="11" t="str"/>
      <x:c r="M16" s="11" t="str">
        <x:v>Pending</x:v>
      </x:c>
      <x:c r="N16" s="11" t="str"/>
      <x:c r="O16" s="1"/>
      <x:c r="P16" s="1"/>
    </x:row>
    <x:row r="17" ht="64" customHeight="1">
      <x:c r="A17" s="9" t="str">
        <x:v>ECOM</x:v>
      </x:c>
      <x:c r="B17" s="9" t="str">
        <x:v>ECOM-REQ-04</x:v>
      </x:c>
      <x:c r="C17" s="9" t="str">
        <x:v>Compare devices</x:v>
      </x:c>
      <x:c r="D17" s="9" t="str">
        <x:v>Must</x:v>
      </x:c>
      <x:c r="E17" s="9" t="str">
        <x:v>Checkout Product Manager</x:v>
      </x:c>
      <x:c r="F17" s="9" t="str">
        <x:v>Device stage counts reconcile to portfolio totals and comparisons use identical periods.</x:v>
      </x:c>
      <x:c r="G17" s="9" t="str">
        <x:v>ECOM-US-04</x:v>
      </x:c>
      <x:c r="H17" s="9" t="str">
        <x:v>ECOM-UAT-04-A</x:v>
      </x:c>
      <x:c r="I17" s="9" t="str">
        <x:v>Analysis/Q02.csv</x:v>
      </x:c>
      <x:c r="J17" s="9" t="str">
        <x:v>Analysis prototype delivered</x:v>
      </x:c>
      <x:c r="K17" s="11" t="str"/>
      <x:c r="L17" s="11" t="str"/>
      <x:c r="M17" s="11" t="str">
        <x:v>Pending</x:v>
      </x:c>
      <x:c r="N17" s="11" t="str"/>
      <x:c r="O17" s="1"/>
      <x:c r="P17" s="1"/>
    </x:row>
    <x:row r="18" ht="64" customHeight="1">
      <x:c r="A18" s="9" t="str">
        <x:v>ECOM</x:v>
      </x:c>
      <x:c r="B18" s="9" t="str">
        <x:v>ECOM-REQ-05</x:v>
      </x:c>
      <x:c r="C18" s="9" t="str">
        <x:v>Inspect acquisition mix</x:v>
      </x:c>
      <x:c r="D18" s="9" t="str">
        <x:v>Should</x:v>
      </x:c>
      <x:c r="E18" s="9" t="str">
        <x:v>Checkout Product Manager</x:v>
      </x:c>
      <x:c r="F18" s="9" t="str">
        <x:v>Channel revenue sums to total; low sample counts are visible.</x:v>
      </x:c>
      <x:c r="G18" s="9" t="str">
        <x:v>ECOM-US-05</x:v>
      </x:c>
      <x:c r="H18" s="9" t="str">
        <x:v>ECOM-UAT-05-A</x:v>
      </x:c>
      <x:c r="I18" s="9" t="str">
        <x:v>Analysis/Q03.csv</x:v>
      </x:c>
      <x:c r="J18" s="9" t="str">
        <x:v>Analysis prototype delivered</x:v>
      </x:c>
      <x:c r="K18" s="11" t="str"/>
      <x:c r="L18" s="11" t="str"/>
      <x:c r="M18" s="11" t="str">
        <x:v>Pending</x:v>
      </x:c>
      <x:c r="N18" s="11" t="str"/>
      <x:c r="O18" s="1"/>
      <x:c r="P18" s="1"/>
    </x:row>
    <x:row r="19" ht="64" customHeight="1">
      <x:c r="A19" s="9" t="str">
        <x:v>ECOM</x:v>
      </x:c>
      <x:c r="B19" s="9" t="str">
        <x:v>ECOM-REQ-06</x:v>
      </x:c>
      <x:c r="C19" s="9" t="str">
        <x:v>Track monthly conversion</x:v>
      </x:c>
      <x:c r="D19" s="9" t="str">
        <x:v>Should</x:v>
      </x:c>
      <x:c r="E19" s="9" t="str">
        <x:v>Checkout Product Manager</x:v>
      </x:c>
      <x:c r="F19" s="9" t="str">
        <x:v>The first month has null prior-month change and no missing month is silently treated as zero.</x:v>
      </x:c>
      <x:c r="G19" s="9" t="str">
        <x:v>ECOM-US-06</x:v>
      </x:c>
      <x:c r="H19" s="9" t="str">
        <x:v>ECOM-UAT-06-A</x:v>
      </x:c>
      <x:c r="I19" s="9" t="str">
        <x:v>Analysis/Q04.csv</x:v>
      </x:c>
      <x:c r="J19" s="9" t="str">
        <x:v>Analysis prototype delivered</x:v>
      </x:c>
      <x:c r="K19" s="11" t="str"/>
      <x:c r="L19" s="11" t="str"/>
      <x:c r="M19" s="11" t="str">
        <x:v>Pending</x:v>
      </x:c>
      <x:c r="N19" s="11" t="str"/>
      <x:c r="O19" s="1"/>
      <x:c r="P19" s="1"/>
    </x:row>
    <x:row r="20" ht="64" customHeight="1">
      <x:c r="A20" s="9" t="str">
        <x:v>ECOM</x:v>
      </x:c>
      <x:c r="B20" s="9" t="str">
        <x:v>ECOM-REQ-07</x:v>
      </x:c>
      <x:c r="C20" s="9" t="str">
        <x:v>Specify an experiment</x:v>
      </x:c>
      <x:c r="D20" s="9" t="str">
        <x:v>Should</x:v>
      </x:c>
      <x:c r="E20" s="9" t="str">
        <x:v>Checkout Product Manager</x:v>
      </x:c>
      <x:c r="F20" s="9" t="str">
        <x:v>No claim of experiment success is made without assignment/exposure events; launch remains pending.</x:v>
      </x:c>
      <x:c r="G20" s="9" t="str">
        <x:v>ECOM-US-07</x:v>
      </x:c>
      <x:c r="H20" s="9" t="str">
        <x:v>ECOM-UAT-07-A</x:v>
      </x:c>
      <x:c r="I20" s="9" t="str">
        <x:v>Docs/07_BI_and_System_Design.md</x:v>
      </x:c>
      <x:c r="J20" s="9" t="str">
        <x:v>Design specified; implementation pending</x:v>
      </x:c>
      <x:c r="K20" s="11" t="str"/>
      <x:c r="L20" s="11" t="str"/>
      <x:c r="M20" s="11" t="str">
        <x:v>Pending</x:v>
      </x:c>
      <x:c r="N20" s="11" t="str"/>
      <x:c r="O20" s="1"/>
      <x:c r="P20" s="1"/>
    </x:row>
    <x:row r="21" ht="64" customHeight="1">
      <x:c r="A21" s="9" t="str">
        <x:v>ECOM</x:v>
      </x:c>
      <x:c r="B21" s="9" t="str">
        <x:v>ECOM-REQ-08</x:v>
      </x:c>
      <x:c r="C21" s="9" t="str">
        <x:v>Protect customer data</x:v>
      </x:c>
      <x:c r="D21" s="9" t="str">
        <x:v>Must</x:v>
      </x:c>
      <x:c r="E21" s="9" t="str">
        <x:v>Checkout Product Manager</x:v>
      </x:c>
      <x:c r="F21" s="9" t="str">
        <x:v>Future design excludes raw contact data from analyst exports and requires a privacy review.</x:v>
      </x:c>
      <x:c r="G21" s="9" t="str">
        <x:v>ECOM-US-08</x:v>
      </x:c>
      <x:c r="H21" s="9" t="str">
        <x:v>ECOM-UAT-08-A</x:v>
      </x:c>
      <x:c r="I21" s="9" t="str">
        <x:v>Docs/07_BI_and_System_Design.md</x:v>
      </x:c>
      <x:c r="J21" s="9" t="str">
        <x:v>Design specified; implementation pending</x:v>
      </x:c>
      <x:c r="K21" s="11" t="str"/>
      <x:c r="L21" s="11" t="str"/>
      <x:c r="M21" s="11" t="str">
        <x:v>Pending</x:v>
      </x:c>
      <x:c r="N21" s="11" t="str"/>
      <x:c r="O21" s="1"/>
      <x:c r="P21" s="1"/>
    </x:row>
    <x:row r="22" ht="64" customHeight="1">
      <x:c r="A22" s="9" t="str">
        <x:v>FIN</x:v>
      </x:c>
      <x:c r="B22" s="9" t="str">
        <x:v>FIN-REQ-01</x:v>
      </x:c>
      <x:c r="C22" s="9" t="str">
        <x:v>Validate finance dimensions</x:v>
      </x:c>
      <x:c r="D22" s="9" t="str">
        <x:v>Must</x:v>
      </x:c>
      <x:c r="E22" s="9" t="str">
        <x:v>FP&amp;A Manager</x:v>
      </x:c>
      <x:c r="F22" s="9" t="str">
        <x:v>All accepted rows have allowed scenario/category values and traceable source_row.</x:v>
      </x:c>
      <x:c r="G22" s="9" t="str">
        <x:v>FIN-US-01</x:v>
      </x:c>
      <x:c r="H22" s="9" t="str">
        <x:v>FIN-UAT-01-A</x:v>
      </x:c>
      <x:c r="I22" s="9" t="str">
        <x:v>Analysis/Q01.csv</x:v>
      </x:c>
      <x:c r="J22" s="9" t="str">
        <x:v>Analysis prototype delivered</x:v>
      </x:c>
      <x:c r="K22" s="11" t="str"/>
      <x:c r="L22" s="11" t="str"/>
      <x:c r="M22" s="11" t="str">
        <x:v>Pending</x:v>
      </x:c>
      <x:c r="N22" s="11" t="str"/>
      <x:c r="O22" s="1"/>
      <x:c r="P22" s="1"/>
    </x:row>
    <x:row r="23" ht="64" customHeight="1">
      <x:c r="A23" s="9" t="str">
        <x:v>FIN</x:v>
      </x:c>
      <x:c r="B23" s="9" t="str">
        <x:v>FIN-REQ-02</x:v>
      </x:c>
      <x:c r="C23" s="9" t="str">
        <x:v>Create actual/budget revenue bridge</x:v>
      </x:c>
      <x:c r="D23" s="9" t="str">
        <x:v>Must</x:v>
      </x:c>
      <x:c r="E23" s="9" t="str">
        <x:v>FP&amp;A Manager</x:v>
      </x:c>
      <x:c r="F23" s="9" t="str">
        <x:v>Actual and budget reconcile separately; zero budget returns null rate.</x:v>
      </x:c>
      <x:c r="G23" s="9" t="str">
        <x:v>FIN-US-02</x:v>
      </x:c>
      <x:c r="H23" s="9" t="str">
        <x:v>FIN-UAT-02-A</x:v>
      </x:c>
      <x:c r="I23" s="9" t="str">
        <x:v>Analysis/Q02.csv</x:v>
      </x:c>
      <x:c r="J23" s="9" t="str">
        <x:v>Analysis prototype delivered</x:v>
      </x:c>
      <x:c r="K23" s="11" t="str"/>
      <x:c r="L23" s="11" t="str"/>
      <x:c r="M23" s="11" t="str">
        <x:v>Pending</x:v>
      </x:c>
      <x:c r="N23" s="11" t="str"/>
      <x:c r="O23" s="1"/>
      <x:c r="P23" s="1"/>
    </x:row>
    <x:row r="24" ht="64" customHeight="1">
      <x:c r="A24" s="9" t="str">
        <x:v>FIN</x:v>
      </x:c>
      <x:c r="B24" s="9" t="str">
        <x:v>FIN-REQ-03</x:v>
      </x:c>
      <x:c r="C24" s="9" t="str">
        <x:v>Calculate operating income</x:v>
      </x:c>
      <x:c r="D24" s="9" t="str">
        <x:v>Must</x:v>
      </x:c>
      <x:c r="E24" s="9" t="str">
        <x:v>FP&amp;A Manager</x:v>
      </x:c>
      <x:c r="F24" s="9" t="str">
        <x:v>A fixed fixture produces the expected operating income and weighted gross margin.</x:v>
      </x:c>
      <x:c r="G24" s="9" t="str">
        <x:v>FIN-US-03</x:v>
      </x:c>
      <x:c r="H24" s="9" t="str">
        <x:v>FIN-UAT-03-A</x:v>
      </x:c>
      <x:c r="I24" s="9" t="str">
        <x:v>Analysis/Q02.csv</x:v>
      </x:c>
      <x:c r="J24" s="9" t="str">
        <x:v>Analysis prototype delivered</x:v>
      </x:c>
      <x:c r="K24" s="11" t="str"/>
      <x:c r="L24" s="11" t="str"/>
      <x:c r="M24" s="11" t="str">
        <x:v>Pending</x:v>
      </x:c>
      <x:c r="N24" s="11" t="str"/>
      <x:c r="O24" s="1"/>
      <x:c r="P24" s="1"/>
    </x:row>
    <x:row r="25" ht="64" customHeight="1">
      <x:c r="A25" s="9" t="str">
        <x:v>FIN</x:v>
      </x:c>
      <x:c r="B25" s="9" t="str">
        <x:v>FIN-REQ-04</x:v>
      </x:c>
      <x:c r="C25" s="9" t="str">
        <x:v>Explain department contribution</x:v>
      </x:c>
      <x:c r="D25" s="9" t="str">
        <x:v>Must</x:v>
      </x:c>
      <x:c r="E25" s="9" t="str">
        <x:v>FP&amp;A Manager</x:v>
      </x:c>
      <x:c r="F25" s="9" t="str">
        <x:v>Department variances sum to the overall variance; no percentage averages are used.</x:v>
      </x:c>
      <x:c r="G25" s="9" t="str">
        <x:v>FIN-US-04</x:v>
      </x:c>
      <x:c r="H25" s="9" t="str">
        <x:v>FIN-UAT-04-A</x:v>
      </x:c>
      <x:c r="I25" s="9" t="str">
        <x:v>Analysis/Q03.csv</x:v>
      </x:c>
      <x:c r="J25" s="9" t="str">
        <x:v>Analysis prototype delivered</x:v>
      </x:c>
      <x:c r="K25" s="11" t="str"/>
      <x:c r="L25" s="11" t="str"/>
      <x:c r="M25" s="11" t="str">
        <x:v>Pending</x:v>
      </x:c>
      <x:c r="N25" s="11" t="str"/>
      <x:c r="O25" s="1"/>
      <x:c r="P25" s="1"/>
    </x:row>
    <x:row r="26" ht="64" customHeight="1">
      <x:c r="A26" s="9" t="str">
        <x:v>FIN</x:v>
      </x:c>
      <x:c r="B26" s="9" t="str">
        <x:v>FIN-REQ-05</x:v>
      </x:c>
      <x:c r="C26" s="9" t="str">
        <x:v>Reconcile the dashboard extract</x:v>
      </x:c>
      <x:c r="D26" s="9" t="str">
        <x:v>Must</x:v>
      </x:c>
      <x:c r="E26" s="9" t="str">
        <x:v>FP&amp;A Manager</x:v>
      </x:c>
      <x:c r="F26" s="9" t="str">
        <x:v>Every difference above $0.01 is listed; unresolved differences block close approval.</x:v>
      </x:c>
      <x:c r="G26" s="9" t="str">
        <x:v>FIN-US-05</x:v>
      </x:c>
      <x:c r="H26" s="9" t="str">
        <x:v>FIN-UAT-05-A</x:v>
      </x:c>
      <x:c r="I26" s="9" t="str">
        <x:v>Analysis/Q04.csv</x:v>
      </x:c>
      <x:c r="J26" s="9" t="str">
        <x:v>Analysis prototype delivered</x:v>
      </x:c>
      <x:c r="K26" s="11" t="str"/>
      <x:c r="L26" s="11" t="str"/>
      <x:c r="M26" s="11" t="str">
        <x:v>Pending</x:v>
      </x:c>
      <x:c r="N26" s="11" t="str"/>
      <x:c r="O26" s="1"/>
      <x:c r="P26" s="1"/>
    </x:row>
    <x:row r="27" ht="64" customHeight="1">
      <x:c r="A27" s="9" t="str">
        <x:v>FIN</x:v>
      </x:c>
      <x:c r="B27" s="9" t="str">
        <x:v>FIN-REQ-06</x:v>
      </x:c>
      <x:c r="C27" s="9" t="str">
        <x:v>Preserve a close version</x:v>
      </x:c>
      <x:c r="D27" s="9" t="str">
        <x:v>Must</x:v>
      </x:c>
      <x:c r="E27" s="9" t="str">
        <x:v>FP&amp;A Manager</x:v>
      </x:c>
      <x:c r="F27" s="9" t="str">
        <x:v>A rebuilt run produces identical totals for identical input hashes.</x:v>
      </x:c>
      <x:c r="G27" s="9" t="str">
        <x:v>FIN-US-06</x:v>
      </x:c>
      <x:c r="H27" s="9" t="str">
        <x:v>FIN-UAT-06-A</x:v>
      </x:c>
      <x:c r="I27" s="9" t="str">
        <x:v>Analysis/Q01.csv</x:v>
      </x:c>
      <x:c r="J27" s="9" t="str">
        <x:v>Analysis prototype delivered</x:v>
      </x:c>
      <x:c r="K27" s="11" t="str"/>
      <x:c r="L27" s="11" t="str"/>
      <x:c r="M27" s="11" t="str">
        <x:v>Pending</x:v>
      </x:c>
      <x:c r="N27" s="11" t="str"/>
      <x:c r="O27" s="1"/>
      <x:c r="P27" s="1"/>
    </x:row>
    <x:row r="28" ht="64" customHeight="1">
      <x:c r="A28" s="9" t="str">
        <x:v>FIN</x:v>
      </x:c>
      <x:c r="B28" s="9" t="str">
        <x:v>FIN-REQ-07</x:v>
      </x:c>
      <x:c r="C28" s="9" t="str">
        <x:v>Design approval workflow</x:v>
      </x:c>
      <x:c r="D28" s="9" t="str">
        <x:v>Must</x:v>
      </x:c>
      <x:c r="E28" s="9" t="str">
        <x:v>FP&amp;A Manager</x:v>
      </x:c>
      <x:c r="F28" s="9" t="str">
        <x:v>A rejected reconciliation remains unresolved and cannot be marked approved by the preparer alone.</x:v>
      </x:c>
      <x:c r="G28" s="9" t="str">
        <x:v>FIN-US-07</x:v>
      </x:c>
      <x:c r="H28" s="9" t="str">
        <x:v>FIN-UAT-07-A</x:v>
      </x:c>
      <x:c r="I28" s="9" t="str">
        <x:v>Docs/07_BI_and_System_Design.md</x:v>
      </x:c>
      <x:c r="J28" s="9" t="str">
        <x:v>Design specified; implementation pending</x:v>
      </x:c>
      <x:c r="K28" s="11" t="str"/>
      <x:c r="L28" s="11" t="str"/>
      <x:c r="M28" s="11" t="str">
        <x:v>Pending</x:v>
      </x:c>
      <x:c r="N28" s="11" t="str"/>
      <x:c r="O28" s="1"/>
      <x:c r="P28" s="1"/>
    </x:row>
    <x:row r="29" ht="64" customHeight="1">
      <x:c r="A29" s="9" t="str">
        <x:v>FIN</x:v>
      </x:c>
      <x:c r="B29" s="9" t="str">
        <x:v>FIN-REQ-08</x:v>
      </x:c>
      <x:c r="C29" s="9" t="str">
        <x:v>Document forecast limits</x:v>
      </x:c>
      <x:c r="D29" s="9" t="str">
        <x:v>Should</x:v>
      </x:c>
      <x:c r="E29" s="9" t="str">
        <x:v>FP&amp;A Manager</x:v>
      </x:c>
      <x:c r="F29" s="9" t="str">
        <x:v>No forecast accuracy uplift is claimed without actual/forecast history and a defined error measure.</x:v>
      </x:c>
      <x:c r="G29" s="9" t="str">
        <x:v>FIN-US-08</x:v>
      </x:c>
      <x:c r="H29" s="9" t="str">
        <x:v>FIN-UAT-08-A</x:v>
      </x:c>
      <x:c r="I29" s="9" t="str">
        <x:v>Analysis/Q03.csv</x:v>
      </x:c>
      <x:c r="J29" s="9" t="str">
        <x:v>Analysis prototype delivered</x:v>
      </x:c>
      <x:c r="K29" s="11" t="str"/>
      <x:c r="L29" s="11" t="str"/>
      <x:c r="M29" s="11" t="str">
        <x:v>Pending</x:v>
      </x:c>
      <x:c r="N29" s="11" t="str"/>
      <x:c r="O29" s="1"/>
      <x:c r="P29" s="1"/>
    </x:row>
    <x:row r="30" ht="64" customHeight="1">
      <x:c r="A30" s="9" t="str">
        <x:v>ADS</x:v>
      </x:c>
      <x:c r="B30" s="9" t="str">
        <x:v>ADS-REQ-01</x:v>
      </x:c>
      <x:c r="C30" s="9" t="str">
        <x:v>Load additive ad records</x:v>
      </x:c>
      <x:c r="D30" s="9" t="str">
        <x:v>Must</x:v>
      </x:c>
      <x:c r="E30" s="9" t="str">
        <x:v>Marketing Operations Manager</x:v>
      </x:c>
      <x:c r="F30" s="9" t="str">
        <x:v>Revenue and cost control totals reconcile independently to the CSV.</x:v>
      </x:c>
      <x:c r="G30" s="9" t="str">
        <x:v>ADS-US-01</x:v>
      </x:c>
      <x:c r="H30" s="9" t="str">
        <x:v>ADS-UAT-01-A</x:v>
      </x:c>
      <x:c r="I30" s="9" t="str">
        <x:v>Analysis/Q01.csv</x:v>
      </x:c>
      <x:c r="J30" s="9" t="str">
        <x:v>Analysis prototype delivered</x:v>
      </x:c>
      <x:c r="K30" s="11" t="str"/>
      <x:c r="L30" s="11" t="str"/>
      <x:c r="M30" s="11" t="str">
        <x:v>Pending</x:v>
      </x:c>
      <x:c r="N30" s="11" t="str"/>
      <x:c r="O30" s="1"/>
      <x:c r="P30" s="1"/>
    </x:row>
    <x:row r="31" ht="64" customHeight="1">
      <x:c r="A31" s="9" t="str">
        <x:v>ADS</x:v>
      </x:c>
      <x:c r="B31" s="9" t="str">
        <x:v>ADS-REQ-02</x:v>
      </x:c>
      <x:c r="C31" s="9" t="str">
        <x:v>Calculate weighted efficiency</x:v>
      </x:c>
      <x:c r="D31" s="9" t="str">
        <x:v>Must</x:v>
      </x:c>
      <x:c r="E31" s="9" t="str">
        <x:v>Marketing Operations Manager</x:v>
      </x:c>
      <x:c r="F31" s="9" t="str">
        <x:v>Weighted fixtures match independent arithmetic; all zero denominators return null.</x:v>
      </x:c>
      <x:c r="G31" s="9" t="str">
        <x:v>ADS-US-02</x:v>
      </x:c>
      <x:c r="H31" s="9" t="str">
        <x:v>ADS-UAT-02-A</x:v>
      </x:c>
      <x:c r="I31" s="9" t="str">
        <x:v>Analysis/Q02.csv</x:v>
      </x:c>
      <x:c r="J31" s="9" t="str">
        <x:v>Analysis prototype delivered</x:v>
      </x:c>
      <x:c r="K31" s="11" t="str"/>
      <x:c r="L31" s="11" t="str"/>
      <x:c r="M31" s="11" t="str">
        <x:v>Pending</x:v>
      </x:c>
      <x:c r="N31" s="11" t="str"/>
      <x:c r="O31" s="1"/>
      <x:c r="P31" s="1"/>
    </x:row>
    <x:row r="32" ht="64" customHeight="1">
      <x:c r="A32" s="9" t="str">
        <x:v>ADS</x:v>
      </x:c>
      <x:c r="B32" s="9" t="str">
        <x:v>ADS-REQ-03</x:v>
      </x:c>
      <x:c r="C32" s="9" t="str">
        <x:v>Compare ad groups</x:v>
      </x:c>
      <x:c r="D32" s="9" t="str">
        <x:v>Must</x:v>
      </x:c>
      <x:c r="E32" s="9" t="str">
        <x:v>Marketing Operations Manager</x:v>
      </x:c>
      <x:c r="F32" s="9" t="str">
        <x:v>Group totals reconcile to the portfolio totals and contribution is correctly labeled.</x:v>
      </x:c>
      <x:c r="G32" s="9" t="str">
        <x:v>ADS-US-03</x:v>
      </x:c>
      <x:c r="H32" s="9" t="str">
        <x:v>ADS-UAT-03-A</x:v>
      </x:c>
      <x:c r="I32" s="9" t="str">
        <x:v>Analysis/Q02.csv</x:v>
      </x:c>
      <x:c r="J32" s="9" t="str">
        <x:v>Analysis prototype delivered</x:v>
      </x:c>
      <x:c r="K32" s="11" t="str"/>
      <x:c r="L32" s="11" t="str"/>
      <x:c r="M32" s="11" t="str">
        <x:v>Pending</x:v>
      </x:c>
      <x:c r="N32" s="11" t="str"/>
      <x:c r="O32" s="1"/>
      <x:c r="P32" s="1"/>
    </x:row>
    <x:row r="33" ht="64" customHeight="1">
      <x:c r="A33" s="9" t="str">
        <x:v>ADS</x:v>
      </x:c>
      <x:c r="B33" s="9" t="str">
        <x:v>ADS-REQ-04</x:v>
      </x:c>
      <x:c r="C33" s="9" t="str">
        <x:v>Inspect device differences</x:v>
      </x:c>
      <x:c r="D33" s="9" t="str">
        <x:v>Should</x:v>
      </x:c>
      <x:c r="E33" s="9" t="str">
        <x:v>Marketing Operations Manager</x:v>
      </x:c>
      <x:c r="F33" s="9" t="str">
        <x:v>Device totals reconcile and no causal explanation is generated automatically.</x:v>
      </x:c>
      <x:c r="G33" s="9" t="str">
        <x:v>ADS-US-04</x:v>
      </x:c>
      <x:c r="H33" s="9" t="str">
        <x:v>ADS-UAT-04-A</x:v>
      </x:c>
      <x:c r="I33" s="9" t="str">
        <x:v>Analysis/Q03.csv</x:v>
      </x:c>
      <x:c r="J33" s="9" t="str">
        <x:v>Analysis prototype delivered</x:v>
      </x:c>
      <x:c r="K33" s="11" t="str"/>
      <x:c r="L33" s="11" t="str"/>
      <x:c r="M33" s="11" t="str">
        <x:v>Pending</x:v>
      </x:c>
      <x:c r="N33" s="11" t="str"/>
      <x:c r="O33" s="1"/>
      <x:c r="P33" s="1"/>
    </x:row>
    <x:row r="34" ht="64" customHeight="1">
      <x:c r="A34" s="9" t="str">
        <x:v>ADS</x:v>
      </x:c>
      <x:c r="B34" s="9" t="str">
        <x:v>ADS-REQ-05</x:v>
      </x:c>
      <x:c r="C34" s="9" t="str">
        <x:v>Track monthly efficiency</x:v>
      </x:c>
      <x:c r="D34" s="9" t="str">
        <x:v>Should</x:v>
      </x:c>
      <x:c r="E34" s="9" t="str">
        <x:v>Marketing Operations Manager</x:v>
      </x:c>
      <x:c r="F34" s="9" t="str">
        <x:v>Month order is chronological and first-month change is null.</x:v>
      </x:c>
      <x:c r="G34" s="9" t="str">
        <x:v>ADS-US-05</x:v>
      </x:c>
      <x:c r="H34" s="9" t="str">
        <x:v>ADS-UAT-05-A</x:v>
      </x:c>
      <x:c r="I34" s="9" t="str">
        <x:v>Analysis/Q04.csv</x:v>
      </x:c>
      <x:c r="J34" s="9" t="str">
        <x:v>Analysis prototype delivered</x:v>
      </x:c>
      <x:c r="K34" s="11" t="str"/>
      <x:c r="L34" s="11" t="str"/>
      <x:c r="M34" s="11" t="str">
        <x:v>Pending</x:v>
      </x:c>
      <x:c r="N34" s="11" t="str"/>
      <x:c r="O34" s="1"/>
      <x:c r="P34" s="1"/>
    </x:row>
    <x:row r="35" ht="64" customHeight="1">
      <x:c r="A35" s="9" t="str">
        <x:v>ADS</x:v>
      </x:c>
      <x:c r="B35" s="9" t="str">
        <x:v>ADS-REQ-06</x:v>
      </x:c>
      <x:c r="C35" s="9" t="str">
        <x:v>Set budget-test guardrails</x:v>
      </x:c>
      <x:c r="D35" s="9" t="str">
        <x:v>Must</x:v>
      </x:c>
      <x:c r="E35" s="9" t="str">
        <x:v>Marketing Operations Manager</x:v>
      </x:c>
      <x:c r="F35" s="9" t="str">
        <x:v>The proposed plan includes approval, holdout strategy, minimum evidence, and a stop rule.</x:v>
      </x:c>
      <x:c r="G35" s="9" t="str">
        <x:v>ADS-US-06</x:v>
      </x:c>
      <x:c r="H35" s="9" t="str">
        <x:v>ADS-UAT-06-A</x:v>
      </x:c>
      <x:c r="I35" s="9" t="str">
        <x:v>Docs/07_BI_and_System_Design.md</x:v>
      </x:c>
      <x:c r="J35" s="9" t="str">
        <x:v>Design specified; implementation pending</x:v>
      </x:c>
      <x:c r="K35" s="11" t="str"/>
      <x:c r="L35" s="11" t="str"/>
      <x:c r="M35" s="11" t="str">
        <x:v>Pending</x:v>
      </x:c>
      <x:c r="N35" s="11" t="str"/>
      <x:c r="O35" s="1"/>
      <x:c r="P35" s="1"/>
    </x:row>
    <x:row r="36" ht="64" customHeight="1">
      <x:c r="A36" s="9" t="str">
        <x:v>ADS</x:v>
      </x:c>
      <x:c r="B36" s="9" t="str">
        <x:v>ADS-REQ-07</x:v>
      </x:c>
      <x:c r="C36" s="9" t="str">
        <x:v>Validate P&amp;L labeling</x:v>
      </x:c>
      <x:c r="D36" s="9" t="str">
        <x:v>Must</x:v>
      </x:c>
      <x:c r="E36" s="9" t="str">
        <x:v>Marketing Operations Manager</x:v>
      </x:c>
      <x:c r="F36" s="9" t="str">
        <x:v>Every record with a difference above $0.01 is reported and full-profit language is excluded.</x:v>
      </x:c>
      <x:c r="G36" s="9" t="str">
        <x:v>ADS-US-07</x:v>
      </x:c>
      <x:c r="H36" s="9" t="str">
        <x:v>ADS-UAT-07-A</x:v>
      </x:c>
      <x:c r="I36" s="9" t="str">
        <x:v>Analysis/Q01.csv</x:v>
      </x:c>
      <x:c r="J36" s="9" t="str">
        <x:v>Analysis prototype delivered</x:v>
      </x:c>
      <x:c r="K36" s="11" t="str"/>
      <x:c r="L36" s="11" t="str"/>
      <x:c r="M36" s="11" t="str">
        <x:v>Pending</x:v>
      </x:c>
      <x:c r="N36" s="11" t="str"/>
      <x:c r="O36" s="1"/>
      <x:c r="P36" s="1"/>
    </x:row>
    <x:row r="37" ht="64" customHeight="1">
      <x:c r="A37" s="9" t="str">
        <x:v>ADS</x:v>
      </x:c>
      <x:c r="B37" s="9" t="str">
        <x:v>ADS-REQ-08</x:v>
      </x:c>
      <x:c r="C37" s="9" t="str">
        <x:v>Govern campaign exports</x:v>
      </x:c>
      <x:c r="D37" s="9" t="str">
        <x:v>Must</x:v>
      </x:c>
      <x:c r="E37" s="9" t="str">
        <x:v>Marketing Operations Manager</x:v>
      </x:c>
      <x:c r="F37" s="9" t="str">
        <x:v>A future access test prevents viewer budget edits; prototype CSV has no role enforcement.</x:v>
      </x:c>
      <x:c r="G37" s="9" t="str">
        <x:v>ADS-US-08</x:v>
      </x:c>
      <x:c r="H37" s="9" t="str">
        <x:v>ADS-UAT-08-A</x:v>
      </x:c>
      <x:c r="I37" s="9" t="str">
        <x:v>Docs/07_BI_and_System_Design.md</x:v>
      </x:c>
      <x:c r="J37" s="9" t="str">
        <x:v>Design specified; implementation pending</x:v>
      </x:c>
      <x:c r="K37" s="11" t="str"/>
      <x:c r="L37" s="11" t="str"/>
      <x:c r="M37" s="11" t="str">
        <x:v>Pending</x:v>
      </x:c>
      <x:c r="N37" s="11" t="str"/>
      <x:c r="O37" s="1"/>
      <x:c r="P37" s="1"/>
    </x:row>
    <x:row r="38" ht="64" customHeight="1">
      <x:c r="A38" s="9" t="str">
        <x:v>REG</x:v>
      </x:c>
      <x:c r="B38" s="9" t="str">
        <x:v>REG-REQ-01</x:v>
      </x:c>
      <x:c r="C38" s="9" t="str">
        <x:v>Validate restaurant-month grain</x:v>
      </x:c>
      <x:c r="D38" s="9" t="str">
        <x:v>Must</x:v>
      </x:c>
      <x:c r="E38" s="9" t="str">
        <x:v>Sales Operations Manager</x:v>
      </x:c>
      <x:c r="F38" s="9" t="str">
        <x:v>No duplicate candidate keys or conflicting mappings are silently accepted.</x:v>
      </x:c>
      <x:c r="G38" s="9" t="str">
        <x:v>REG-US-01</x:v>
      </x:c>
      <x:c r="H38" s="9" t="str">
        <x:v>REG-UAT-01-A</x:v>
      </x:c>
      <x:c r="I38" s="9" t="str">
        <x:v>Analysis/Q01.csv</x:v>
      </x:c>
      <x:c r="J38" s="9" t="str">
        <x:v>Analysis prototype delivered</x:v>
      </x:c>
      <x:c r="K38" s="11" t="str"/>
      <x:c r="L38" s="11" t="str"/>
      <x:c r="M38" s="11" t="str">
        <x:v>Pending</x:v>
      </x:c>
      <x:c r="N38" s="11" t="str"/>
      <x:c r="O38" s="1"/>
      <x:c r="P38" s="1"/>
    </x:row>
    <x:row r="39" ht="64" customHeight="1">
      <x:c r="A39" s="9" t="str">
        <x:v>REG</x:v>
      </x:c>
      <x:c r="B39" s="9" t="str">
        <x:v>REG-REQ-02</x:v>
      </x:c>
      <x:c r="C39" s="9" t="str">
        <x:v>Aggregate city and zone sales</x:v>
      </x:c>
      <x:c r="D39" s="9" t="str">
        <x:v>Must</x:v>
      </x:c>
      <x:c r="E39" s="9" t="str">
        <x:v>Sales Operations Manager</x:v>
      </x:c>
      <x:c r="F39" s="9" t="str">
        <x:v>Each grouping independently reconciles to portfolio sales within $0.01.</x:v>
      </x:c>
      <x:c r="G39" s="9" t="str">
        <x:v>REG-US-02</x:v>
      </x:c>
      <x:c r="H39" s="9" t="str">
        <x:v>REG-UAT-02-A</x:v>
      </x:c>
      <x:c r="I39" s="9" t="str">
        <x:v>Analysis/Q02.csv</x:v>
      </x:c>
      <x:c r="J39" s="9" t="str">
        <x:v>Analysis prototype delivered</x:v>
      </x:c>
      <x:c r="K39" s="11" t="str"/>
      <x:c r="L39" s="11" t="str"/>
      <x:c r="M39" s="11" t="str">
        <x:v>Pending</x:v>
      </x:c>
      <x:c r="N39" s="11" t="str"/>
      <x:c r="O39" s="1"/>
      <x:c r="P39" s="1"/>
    </x:row>
    <x:row r="40" ht="64" customHeight="1">
      <x:c r="A40" s="9" t="str">
        <x:v>REG</x:v>
      </x:c>
      <x:c r="B40" s="9" t="str">
        <x:v>REG-REQ-03</x:v>
      </x:c>
      <x:c r="C40" s="9" t="str">
        <x:v>Show monthly change</x:v>
      </x:c>
      <x:c r="D40" s="9" t="str">
        <x:v>Must</x:v>
      </x:c>
      <x:c r="E40" s="9" t="str">
        <x:v>Sales Operations Manager</x:v>
      </x:c>
      <x:c r="F40" s="9" t="str">
        <x:v>July has no prior comparison; a missing August makes September comparison null.</x:v>
      </x:c>
      <x:c r="G40" s="9" t="str">
        <x:v>REG-US-03</x:v>
      </x:c>
      <x:c r="H40" s="9" t="str">
        <x:v>REG-UAT-03-A</x:v>
      </x:c>
      <x:c r="I40" s="9" t="str">
        <x:v>Analysis/Q03.csv</x:v>
      </x:c>
      <x:c r="J40" s="9" t="str">
        <x:v>Analysis prototype delivered</x:v>
      </x:c>
      <x:c r="K40" s="11" t="str"/>
      <x:c r="L40" s="11" t="str"/>
      <x:c r="M40" s="11" t="str">
        <x:v>Pending</x:v>
      </x:c>
      <x:c r="N40" s="11" t="str"/>
      <x:c r="O40" s="1"/>
      <x:c r="P40" s="1"/>
    </x:row>
    <x:row r="41" ht="64" customHeight="1">
      <x:c r="A41" s="9" t="str">
        <x:v>REG</x:v>
      </x:c>
      <x:c r="B41" s="9" t="str">
        <x:v>REG-REQ-04</x:v>
      </x:c>
      <x:c r="C41" s="9" t="str">
        <x:v>Rank restaurants fairly</x:v>
      </x:c>
      <x:c r="D41" s="9" t="str">
        <x:v>Should</x:v>
      </x:c>
      <x:c r="E41" s="9" t="str">
        <x:v>Sales Operations Manager</x:v>
      </x:c>
      <x:c r="F41" s="9" t="str">
        <x:v>Ranks use the full selected period and ties resolve deterministically.</x:v>
      </x:c>
      <x:c r="G41" s="9" t="str">
        <x:v>REG-US-04</x:v>
      </x:c>
      <x:c r="H41" s="9" t="str">
        <x:v>REG-UAT-04-A</x:v>
      </x:c>
      <x:c r="I41" s="9" t="str">
        <x:v>Analysis/Q04.csv</x:v>
      </x:c>
      <x:c r="J41" s="9" t="str">
        <x:v>Analysis prototype delivered</x:v>
      </x:c>
      <x:c r="K41" s="11" t="str"/>
      <x:c r="L41" s="11" t="str"/>
      <x:c r="M41" s="11" t="str">
        <x:v>Pending</x:v>
      </x:c>
      <x:c r="N41" s="11" t="str"/>
      <x:c r="O41" s="1"/>
      <x:c r="P41" s="1"/>
    </x:row>
    <x:row r="42" ht="64" customHeight="1">
      <x:c r="A42" s="9" t="str">
        <x:v>REG</x:v>
      </x:c>
      <x:c r="B42" s="9" t="str">
        <x:v>REG-REQ-05</x:v>
      </x:c>
      <x:c r="C42" s="9" t="str">
        <x:v>Expose coverage gaps</x:v>
      </x:c>
      <x:c r="D42" s="9" t="str">
        <x:v>Must</x:v>
      </x:c>
      <x:c r="E42" s="9" t="str">
        <x:v>Sales Operations Manager</x:v>
      </x:c>
      <x:c r="F42" s="9" t="str">
        <x:v>Restaurants with fewer than the extract month count are listed for investigation.</x:v>
      </x:c>
      <x:c r="G42" s="9" t="str">
        <x:v>REG-US-05</x:v>
      </x:c>
      <x:c r="H42" s="9" t="str">
        <x:v>REG-UAT-05-A</x:v>
      </x:c>
      <x:c r="I42" s="9" t="str">
        <x:v>Analysis/Q04.csv</x:v>
      </x:c>
      <x:c r="J42" s="9" t="str">
        <x:v>Analysis prototype delivered</x:v>
      </x:c>
      <x:c r="K42" s="11" t="str"/>
      <x:c r="L42" s="11" t="str"/>
      <x:c r="M42" s="11" t="str">
        <x:v>Pending</x:v>
      </x:c>
      <x:c r="N42" s="11" t="str"/>
      <x:c r="O42" s="1"/>
      <x:c r="P42" s="1"/>
    </x:row>
    <x:row r="43" ht="64" customHeight="1">
      <x:c r="A43" s="9" t="str">
        <x:v>REG</x:v>
      </x:c>
      <x:c r="B43" s="9" t="str">
        <x:v>REG-REQ-06</x:v>
      </x:c>
      <x:c r="C43" s="9" t="str">
        <x:v>Separate sales from targets</x:v>
      </x:c>
      <x:c r="D43" s="9" t="str">
        <x:v>Must</x:v>
      </x:c>
      <x:c r="E43" s="9" t="str">
        <x:v>Sales Operations Manager</x:v>
      </x:c>
      <x:c r="F43" s="9" t="str">
        <x:v>All current metrics refer to sales; no YoY or profitability claim is presented.</x:v>
      </x:c>
      <x:c r="G43" s="9" t="str">
        <x:v>REG-US-06</x:v>
      </x:c>
      <x:c r="H43" s="9" t="str">
        <x:v>REG-UAT-06-A</x:v>
      </x:c>
      <x:c r="I43" s="9" t="str">
        <x:v>Analysis/Q02.csv</x:v>
      </x:c>
      <x:c r="J43" s="9" t="str">
        <x:v>Analysis prototype delivered</x:v>
      </x:c>
      <x:c r="K43" s="11" t="str"/>
      <x:c r="L43" s="11" t="str"/>
      <x:c r="M43" s="11" t="str">
        <x:v>Pending</x:v>
      </x:c>
      <x:c r="N43" s="11" t="str"/>
      <x:c r="O43" s="1"/>
      <x:c r="P43" s="1"/>
    </x:row>
    <x:row r="44" ht="64" customHeight="1">
      <x:c r="A44" s="9" t="str">
        <x:v>REG</x:v>
      </x:c>
      <x:c r="B44" s="9" t="str">
        <x:v>REG-REQ-07</x:v>
      </x:c>
      <x:c r="C44" s="9" t="str">
        <x:v>Define manager review workflow</x:v>
      </x:c>
      <x:c r="D44" s="9" t="str">
        <x:v>Should</x:v>
      </x:c>
      <x:c r="E44" s="9" t="str">
        <x:v>Sales Operations Manager</x:v>
      </x:c>
      <x:c r="F44" s="9" t="str">
        <x:v>Design includes owner, reason, next action, due date, and review evidence.</x:v>
      </x:c>
      <x:c r="G44" s="9" t="str">
        <x:v>REG-US-07</x:v>
      </x:c>
      <x:c r="H44" s="9" t="str">
        <x:v>REG-UAT-07-A</x:v>
      </x:c>
      <x:c r="I44" s="9" t="str">
        <x:v>Docs/07_BI_and_System_Design.md</x:v>
      </x:c>
      <x:c r="J44" s="9" t="str">
        <x:v>Design specified; implementation pending</x:v>
      </x:c>
      <x:c r="K44" s="11" t="str"/>
      <x:c r="L44" s="11" t="str"/>
      <x:c r="M44" s="11" t="str">
        <x:v>Pending</x:v>
      </x:c>
      <x:c r="N44" s="11" t="str"/>
      <x:c r="O44" s="1"/>
      <x:c r="P44" s="1"/>
    </x:row>
    <x:row r="45" ht="64" customHeight="1">
      <x:c r="A45" s="9" t="str">
        <x:v>REG</x:v>
      </x:c>
      <x:c r="B45" s="9" t="str">
        <x:v>REG-REQ-08</x:v>
      </x:c>
      <x:c r="C45" s="9" t="str">
        <x:v>Define access by region</x:v>
      </x:c>
      <x:c r="D45" s="9" t="str">
        <x:v>Must</x:v>
      </x:c>
      <x:c r="E45" s="9" t="str">
        <x:v>Sales Operations Manager</x:v>
      </x:c>
      <x:c r="F45" s="9" t="str">
        <x:v>Future role tests limit managers to assigned zones; current local CSV has no RLS.</x:v>
      </x:c>
      <x:c r="G45" s="9" t="str">
        <x:v>REG-US-08</x:v>
      </x:c>
      <x:c r="H45" s="9" t="str">
        <x:v>REG-UAT-08-A</x:v>
      </x:c>
      <x:c r="I45" s="9" t="str">
        <x:v>Docs/07_BI_and_System_Design.md</x:v>
      </x:c>
      <x:c r="J45" s="9" t="str">
        <x:v>Design specified; implementation pending</x:v>
      </x:c>
      <x:c r="K45" s="11" t="str"/>
      <x:c r="L45" s="11" t="str"/>
      <x:c r="M45" s="11" t="str">
        <x:v>Pending</x:v>
      </x:c>
      <x:c r="N45" s="11" t="str"/>
      <x:c r="O45" s="1"/>
      <x:c r="P45" s="1"/>
    </x:row>
    <x:row r="46" ht="64" customHeight="1">
      <x:c r="A46" s="9" t="str">
        <x:v>CRM</x:v>
      </x:c>
      <x:c r="B46" s="9" t="str">
        <x:v>CRM-REQ-01</x:v>
      </x:c>
      <x:c r="C46" s="9" t="str">
        <x:v>Validate opportunity records</x:v>
      </x:c>
      <x:c r="D46" s="9" t="str">
        <x:v>Must</x:v>
      </x:c>
      <x:c r="E46" s="9" t="str">
        <x:v>Sales Operations Manager</x:v>
      </x:c>
      <x:c r="F46" s="9" t="str">
        <x:v>Duplicate IDs and probability outside 0-1 are detected; supplied records are profiled.</x:v>
      </x:c>
      <x:c r="G46" s="9" t="str">
        <x:v>CRM-US-01</x:v>
      </x:c>
      <x:c r="H46" s="9" t="str">
        <x:v>CRM-UAT-01-A</x:v>
      </x:c>
      <x:c r="I46" s="9" t="str">
        <x:v>Analysis/Q01.csv</x:v>
      </x:c>
      <x:c r="J46" s="9" t="str">
        <x:v>Analysis prototype delivered</x:v>
      </x:c>
      <x:c r="K46" s="11" t="str"/>
      <x:c r="L46" s="11" t="str"/>
      <x:c r="M46" s="11" t="str">
        <x:v>Pending</x:v>
      </x:c>
      <x:c r="N46" s="11" t="str"/>
      <x:c r="O46" s="1"/>
      <x:c r="P46" s="1"/>
    </x:row>
    <x:row r="47" ht="64" customHeight="1">
      <x:c r="A47" s="9" t="str">
        <x:v>CRM</x:v>
      </x:c>
      <x:c r="B47" s="9" t="str">
        <x:v>CRM-REQ-02</x:v>
      </x:c>
      <x:c r="C47" s="9" t="str">
        <x:v>Separate open and closed values</x:v>
      </x:c>
      <x:c r="D47" s="9" t="str">
        <x:v>Must</x:v>
      </x:c>
      <x:c r="E47" s="9" t="str">
        <x:v>Sales Operations Manager</x:v>
      </x:c>
      <x:c r="F47" s="9" t="str">
        <x:v>Open + won + lost equals all-record amount within $0.01.</x:v>
      </x:c>
      <x:c r="G47" s="9" t="str">
        <x:v>CRM-US-02</x:v>
      </x:c>
      <x:c r="H47" s="9" t="str">
        <x:v>CRM-UAT-02-A</x:v>
      </x:c>
      <x:c r="I47" s="9" t="str">
        <x:v>Analysis/Q02.csv</x:v>
      </x:c>
      <x:c r="J47" s="9" t="str">
        <x:v>Analysis prototype delivered</x:v>
      </x:c>
      <x:c r="K47" s="11" t="str"/>
      <x:c r="L47" s="11" t="str"/>
      <x:c r="M47" s="11" t="str">
        <x:v>Pending</x:v>
      </x:c>
      <x:c r="N47" s="11" t="str"/>
      <x:c r="O47" s="1"/>
      <x:c r="P47" s="1"/>
    </x:row>
    <x:row r="48" ht="64" customHeight="1">
      <x:c r="A48" s="9" t="str">
        <x:v>CRM</x:v>
      </x:c>
      <x:c r="B48" s="9" t="str">
        <x:v>CRM-REQ-03</x:v>
      </x:c>
      <x:c r="C48" s="9" t="str">
        <x:v>Calculate weighted open pipeline</x:v>
      </x:c>
      <x:c r="D48" s="9" t="str">
        <x:v>Must</x:v>
      </x:c>
      <x:c r="E48" s="9" t="str">
        <x:v>Sales Operations Manager</x:v>
      </x:c>
      <x:c r="F48" s="9" t="str">
        <x:v>Fixed unequal-amount fixture matches sum of products; closed values are excluded.</x:v>
      </x:c>
      <x:c r="G48" s="9" t="str">
        <x:v>CRM-US-03</x:v>
      </x:c>
      <x:c r="H48" s="9" t="str">
        <x:v>CRM-UAT-03-A</x:v>
      </x:c>
      <x:c r="I48" s="9" t="str">
        <x:v>Analysis/Q02.csv</x:v>
      </x:c>
      <x:c r="J48" s="9" t="str">
        <x:v>Analysis prototype delivered</x:v>
      </x:c>
      <x:c r="K48" s="11" t="str"/>
      <x:c r="L48" s="11" t="str"/>
      <x:c r="M48" s="11" t="str">
        <x:v>Pending</x:v>
      </x:c>
      <x:c r="N48" s="11" t="str"/>
      <x:c r="O48" s="1"/>
      <x:c r="P48" s="1"/>
    </x:row>
    <x:row r="49" ht="64" customHeight="1">
      <x:c r="A49" s="9" t="str">
        <x:v>CRM</x:v>
      </x:c>
      <x:c r="B49" s="9" t="str">
        <x:v>CRM-REQ-04</x:v>
      </x:c>
      <x:c r="C49" s="9" t="str">
        <x:v>Review stage concentration</x:v>
      </x:c>
      <x:c r="D49" s="9" t="str">
        <x:v>Should</x:v>
      </x:c>
      <x:c r="E49" s="9" t="str">
        <x:v>Sales Operations Manager</x:v>
      </x:c>
      <x:c r="F49" s="9" t="str">
        <x:v>Stage amounts reconcile; counts total the source record count.</x:v>
      </x:c>
      <x:c r="G49" s="9" t="str">
        <x:v>CRM-US-04</x:v>
      </x:c>
      <x:c r="H49" s="9" t="str">
        <x:v>CRM-UAT-04-A</x:v>
      </x:c>
      <x:c r="I49" s="9" t="str">
        <x:v>Analysis/Q03.csv</x:v>
      </x:c>
      <x:c r="J49" s="9" t="str">
        <x:v>Analysis prototype delivered</x:v>
      </x:c>
      <x:c r="K49" s="11" t="str"/>
      <x:c r="L49" s="11" t="str"/>
      <x:c r="M49" s="11" t="str">
        <x:v>Pending</x:v>
      </x:c>
      <x:c r="N49" s="11" t="str"/>
      <x:c r="O49" s="1"/>
      <x:c r="P49" s="1"/>
    </x:row>
    <x:row r="50" ht="64" customHeight="1">
      <x:c r="A50" s="9" t="str">
        <x:v>CRM</x:v>
      </x:c>
      <x:c r="B50" s="9" t="str">
        <x:v>CRM-REQ-05</x:v>
      </x:c>
      <x:c r="C50" s="9" t="str">
        <x:v>Create opportunity review queue</x:v>
      </x:c>
      <x:c r="D50" s="9" t="str">
        <x:v>Should</x:v>
      </x:c>
      <x:c r="E50" s="9" t="str">
        <x:v>Sales Operations Manager</x:v>
      </x:c>
      <x:c r="F50" s="9" t="str">
        <x:v>Only open stages appear and each value is traceable to one source record.</x:v>
      </x:c>
      <x:c r="G50" s="9" t="str">
        <x:v>CRM-US-05</x:v>
      </x:c>
      <x:c r="H50" s="9" t="str">
        <x:v>CRM-UAT-05-A</x:v>
      </x:c>
      <x:c r="I50" s="9" t="str">
        <x:v>Analysis/Q04.csv</x:v>
      </x:c>
      <x:c r="J50" s="9" t="str">
        <x:v>Analysis prototype delivered</x:v>
      </x:c>
      <x:c r="K50" s="11" t="str"/>
      <x:c r="L50" s="11" t="str"/>
      <x:c r="M50" s="11" t="str">
        <x:v>Pending</x:v>
      </x:c>
      <x:c r="N50" s="11" t="str"/>
      <x:c r="O50" s="1"/>
      <x:c r="P50" s="1"/>
    </x:row>
    <x:row r="51" ht="64" customHeight="1">
      <x:c r="A51" s="9" t="str">
        <x:v>CRM</x:v>
      </x:c>
      <x:c r="B51" s="9" t="str">
        <x:v>CRM-REQ-06</x:v>
      </x:c>
      <x:c r="C51" s="9" t="str">
        <x:v>Expose forecast limitations</x:v>
      </x:c>
      <x:c r="D51" s="9" t="str">
        <x:v>Must</x:v>
      </x:c>
      <x:c r="E51" s="9" t="str">
        <x:v>Sales Operations Manager</x:v>
      </x:c>
      <x:c r="F51" s="9" t="str">
        <x:v>No sales velocity, historical win rate, or time-bounded forecast is claimed.</x:v>
      </x:c>
      <x:c r="G51" s="9" t="str">
        <x:v>CRM-US-06</x:v>
      </x:c>
      <x:c r="H51" s="9" t="str">
        <x:v>CRM-UAT-06-A</x:v>
      </x:c>
      <x:c r="I51" s="9" t="str">
        <x:v>Analysis/Q01.csv</x:v>
      </x:c>
      <x:c r="J51" s="9" t="str">
        <x:v>Analysis prototype delivered</x:v>
      </x:c>
      <x:c r="K51" s="11" t="str"/>
      <x:c r="L51" s="11" t="str"/>
      <x:c r="M51" s="11" t="str">
        <x:v>Pending</x:v>
      </x:c>
      <x:c r="N51" s="11" t="str"/>
      <x:c r="O51" s="1"/>
      <x:c r="P51" s="1"/>
    </x:row>
    <x:row r="52" ht="64" customHeight="1">
      <x:c r="A52" s="9" t="str">
        <x:v>CRM</x:v>
      </x:c>
      <x:c r="B52" s="9" t="str">
        <x:v>CRM-REQ-07</x:v>
      </x:c>
      <x:c r="C52" s="9" t="str">
        <x:v>Specify stage controls</x:v>
      </x:c>
      <x:c r="D52" s="9" t="str">
        <x:v>Must</x:v>
      </x:c>
      <x:c r="E52" s="9" t="str">
        <x:v>Sales Operations Manager</x:v>
      </x:c>
      <x:c r="F52" s="9" t="str">
        <x:v>Closed Won with probability below 1 and Closed Lost above 0 are blocked in fixture/design tests.</x:v>
      </x:c>
      <x:c r="G52" s="9" t="str">
        <x:v>CRM-US-07</x:v>
      </x:c>
      <x:c r="H52" s="9" t="str">
        <x:v>CRM-UAT-07-A</x:v>
      </x:c>
      <x:c r="I52" s="9" t="str">
        <x:v>Docs/07_BI_and_System_Design.md</x:v>
      </x:c>
      <x:c r="J52" s="9" t="str">
        <x:v>Design specified; implementation pending</x:v>
      </x:c>
      <x:c r="K52" s="11" t="str"/>
      <x:c r="L52" s="11" t="str"/>
      <x:c r="M52" s="11" t="str">
        <x:v>Pending</x:v>
      </x:c>
      <x:c r="N52" s="11" t="str"/>
      <x:c r="O52" s="1"/>
      <x:c r="P52" s="1"/>
    </x:row>
    <x:row r="53" ht="64" customHeight="1">
      <x:c r="A53" s="9" t="str">
        <x:v>CRM</x:v>
      </x:c>
      <x:c r="B53" s="9" t="str">
        <x:v>CRM-REQ-08</x:v>
      </x:c>
      <x:c r="C53" s="9" t="str">
        <x:v>Define CRM role controls</x:v>
      </x:c>
      <x:c r="D53" s="9" t="str">
        <x:v>Must</x:v>
      </x:c>
      <x:c r="E53" s="9" t="str">
        <x:v>Sales Operations Manager</x:v>
      </x:c>
      <x:c r="F53" s="9" t="str">
        <x:v>Future role tests prevent unauthorized forecast edits; local CSV prototype does not enforce CRM roles.</x:v>
      </x:c>
      <x:c r="G53" s="9" t="str">
        <x:v>CRM-US-08</x:v>
      </x:c>
      <x:c r="H53" s="9" t="str">
        <x:v>CRM-UAT-08-A</x:v>
      </x:c>
      <x:c r="I53" s="9" t="str">
        <x:v>Docs/07_BI_and_System_Design.md</x:v>
      </x:c>
      <x:c r="J53" s="9" t="str">
        <x:v>Design specified; implementation pending</x:v>
      </x:c>
      <x:c r="K53" s="11" t="str"/>
      <x:c r="L53" s="11" t="str"/>
      <x:c r="M53" s="11" t="str">
        <x:v>Pending</x:v>
      </x:c>
      <x:c r="N53" s="11" t="str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</x:sheetData>
  <x:conditionalFormatting sqref="M6:M53">
    <x:cfRule type="containsText" dxfId="0" priority="1" operator="containsText" text="Rejected"/>
  </x:conditionalFormatting>
  <x:dataValidations count="1">
    <x:dataValidation type="list" sqref="M6:M53">
      <x:formula1>"Pending,Approved,Rejected,Needs clarification"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c3e53c9b84d5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1" hidden="0" customWidth="1"/>
    <x:col min="4" max="4" width="26" hidden="0" customWidth="1"/>
    <x:col min="5" max="5" width="62" hidden="0" customWidth="1"/>
    <x:col min="6" max="6" width="90" hidden="0" customWidth="1"/>
    <x:col min="7" max="7" width="90" hidden="0" customWidth="1"/>
    <x:col min="8" max="8" width="22" hidden="0" customWidth="1"/>
    <x:col min="9" max="9" width="55" hidden="0" customWidth="1"/>
    <x:col min="10" max="10" width="23" hidden="0" customWidth="1"/>
    <x:col min="11" max="11" width="25" hidden="0" customWidth="1"/>
    <x:col min="12" max="12" width="20" hidden="0" customWidth="1"/>
    <x:col min="13" max="13" width="50" hidden="0" customWidth="1"/>
    <x:col min="14" max="14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Business UAT execution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Source: current project Delivery/uat_cases.csv registers. Execution inputs in columns H:N.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2" customHeight="1">
      <x:c r="A5" s="7" t="str">
        <x:v>Project</x:v>
      </x:c>
      <x:c r="B5" s="7" t="str">
        <x:v>Test ID</x:v>
      </x:c>
      <x:c r="C5" s="7" t="str">
        <x:v>Requirement ID</x:v>
      </x:c>
      <x:c r="D5" s="7" t="str">
        <x:v>Scenario</x:v>
      </x:c>
      <x:c r="E5" s="7" t="str">
        <x:v>Preconditions</x:v>
      </x:c>
      <x:c r="F5" s="7" t="str">
        <x:v>Steps</x:v>
      </x:c>
      <x:c r="G5" s="7" t="str">
        <x:v>Expected result</x:v>
      </x:c>
      <x:c r="H5" s="7" t="str">
        <x:v>Execution status</x:v>
      </x:c>
      <x:c r="I5" s="7" t="str">
        <x:v>Actual result</x:v>
      </x:c>
      <x:c r="J5" s="7" t="str">
        <x:v>Defect ID</x:v>
      </x:c>
      <x:c r="K5" s="7" t="str">
        <x:v>Tester</x:v>
      </x:c>
      <x:c r="L5" s="7" t="str">
        <x:v>Execution date</x:v>
      </x:c>
      <x:c r="M5" s="7" t="str">
        <x:v>Evidence location</x:v>
      </x:c>
      <x:c r="N5" s="7" t="str">
        <x:v>Signoff</x:v>
      </x:c>
      <x:c r="O5" s="1"/>
      <x:c r="P5" s="1"/>
    </x:row>
    <x:row r="6" ht="80" customHeight="1">
      <x:c r="A6" s="9" t="str">
        <x:v>MKT</x:v>
      </x:c>
      <x:c r="B6" s="9" t="str">
        <x:v>MKT-UAT-01-A</x:v>
      </x:c>
      <x:c r="C6" s="9" t="str">
        <x:v>MKT-REQ-01</x:v>
      </x:c>
      <x:c r="D6" s="9" t="str">
        <x:v>Acceptance</x:v>
      </x:c>
      <x:c r="E6" s="9" t="str">
        <x:v>Use a disposable fixture for changed data; supplied source stays immutable. Application tests require a configured environment.</x:v>
      </x:c>
      <x:c r="F6" s="9" t="str">
        <x:v>Review requirement MKT-REQ-01; load the unchanged supplied source; inspect Q01 result and independently recompute its control totals.</x:v>
      </x:c>
      <x:c r="G6" s="9" t="str">
        <x:v>Every source record has one source_row and the aggregate GMV reconciles within $0.01.</x:v>
      </x:c>
      <x:c r="H6" s="11" t="str">
        <x:v>Not executed</x:v>
      </x:c>
      <x:c r="I6" s="11" t="str"/>
      <x:c r="J6" s="11" t="str"/>
      <x:c r="K6" s="11" t="str"/>
      <x:c r="L6" s="12" t="str"/>
      <x:c r="M6" s="11" t="str"/>
      <x:c r="N6" s="11" t="str">
        <x:v>Pending</x:v>
      </x:c>
      <x:c r="O6" s="1"/>
      <x:c r="P6" s="1"/>
    </x:row>
    <x:row r="7" ht="80" customHeight="1">
      <x:c r="A7" s="9" t="str">
        <x:v>MKT</x:v>
      </x:c>
      <x:c r="B7" s="9" t="str">
        <x:v>MKT-UAT-01-B</x:v>
      </x:c>
      <x:c r="C7" s="9" t="str">
        <x:v>MKT-REQ-01</x:v>
      </x:c>
      <x:c r="D7" s="9" t="str">
        <x:v>Boundary / exception</x:v>
      </x:c>
      <x:c r="E7" s="9" t="str">
        <x:v>Use a disposable fixture for changed data; supplied source stays immutable. Application tests require a configured environment.</x:v>
      </x:c>
      <x:c r="F7" s="9" t="str">
        <x:v>Prepare a disposable case for this rule: Missing source columns stop ingestion; source rows are retained when no order business key exists. Re-run the applicable SQL or execute the control in the future configured application.</x:v>
      </x:c>
      <x:c r="G7" s="9" t="str">
        <x:v>Missing source columns stop ingestion; source rows are retained when no order business key exists.</x:v>
      </x:c>
      <x:c r="H7" s="11" t="str">
        <x:v>Not executed</x:v>
      </x:c>
      <x:c r="I7" s="11" t="str"/>
      <x:c r="J7" s="11" t="str"/>
      <x:c r="K7" s="11" t="str"/>
      <x:c r="L7" s="12" t="str"/>
      <x:c r="M7" s="11" t="str"/>
      <x:c r="N7" s="11" t="str">
        <x:v>Pending</x:v>
      </x:c>
      <x:c r="O7" s="1"/>
      <x:c r="P7" s="1"/>
    </x:row>
    <x:row r="8" ht="80" customHeight="1">
      <x:c r="A8" s="9" t="str">
        <x:v>MKT</x:v>
      </x:c>
      <x:c r="B8" s="9" t="str">
        <x:v>MKT-UAT-01-C</x:v>
      </x:c>
      <x:c r="C8" s="9" t="str">
        <x:v>MKT-REQ-01</x:v>
      </x:c>
      <x:c r="D8" s="9" t="str">
        <x:v>Business review</x:v>
      </x:c>
      <x:c r="E8" s="9" t="str">
        <x:v>Use a disposable fixture for changed data; supplied source stays immutable. Application tests require a configured environment.</x:v>
      </x:c>
      <x:c r="F8" s="9" t="str">
        <x:v>Ask the Marketplace Operations Manager to review the labels, scope, evidence, and recommendation against MKT-REQ-01.</x:v>
      </x:c>
      <x:c r="G8" s="9" t="str">
        <x:v>Owner records Approved / Rejected / Needs clarification with a reason and supporting evidence.</x:v>
      </x:c>
      <x:c r="H8" s="11" t="str">
        <x:v>Not executed</x:v>
      </x:c>
      <x:c r="I8" s="11" t="str"/>
      <x:c r="J8" s="11" t="str"/>
      <x:c r="K8" s="11" t="str"/>
      <x:c r="L8" s="12" t="str"/>
      <x:c r="M8" s="11" t="str"/>
      <x:c r="N8" s="11" t="str">
        <x:v>Pending</x:v>
      </x:c>
      <x:c r="O8" s="1"/>
      <x:c r="P8" s="1"/>
    </x:row>
    <x:row r="9" ht="80" customHeight="1">
      <x:c r="A9" s="9" t="str">
        <x:v>MKT</x:v>
      </x:c>
      <x:c r="B9" s="9" t="str">
        <x:v>MKT-UAT-02-A</x:v>
      </x:c>
      <x:c r="C9" s="9" t="str">
        <x:v>MKT-REQ-02</x:v>
      </x:c>
      <x:c r="D9" s="9" t="str">
        <x:v>Acceptance</x:v>
      </x:c>
      <x:c r="E9" s="9" t="str">
        <x:v>Use a disposable fixture for changed data; supplied source stays immutable. Application tests require a configured environment.</x:v>
      </x:c>
      <x:c r="F9" s="9" t="str">
        <x:v>Review requirement MKT-REQ-02; load the unchanged supplied source; inspect Q01 result and independently recompute its control totals.</x:v>
      </x:c>
      <x:c r="G9" s="9" t="str">
        <x:v>Portfolio totals match Q01 and neither measure is described as profit.</x:v>
      </x:c>
      <x:c r="H9" s="11" t="str">
        <x:v>Not executed</x:v>
      </x:c>
      <x:c r="I9" s="11" t="str"/>
      <x:c r="J9" s="11" t="str"/>
      <x:c r="K9" s="11" t="str"/>
      <x:c r="L9" s="12" t="str"/>
      <x:c r="M9" s="11" t="str"/>
      <x:c r="N9" s="11" t="str">
        <x:v>Pending</x:v>
      </x:c>
      <x:c r="O9" s="1"/>
      <x:c r="P9" s="1"/>
    </x:row>
    <x:row r="10" ht="80" customHeight="1">
      <x:c r="A10" s="9" t="str">
        <x:v>MKT</x:v>
      </x:c>
      <x:c r="B10" s="9" t="str">
        <x:v>MKT-UAT-02-B</x:v>
      </x:c>
      <x:c r="C10" s="9" t="str">
        <x:v>MKT-REQ-02</x:v>
      </x:c>
      <x:c r="D10" s="9" t="str">
        <x:v>Boundary / exception</x:v>
      </x:c>
      <x:c r="E10" s="9" t="str">
        <x:v>Use a disposable fixture for changed data; supplied source stays immutable. Application tests require a configured environment.</x:v>
      </x:c>
      <x:c r="F10" s="9" t="str">
        <x:v>Prepare a disposable case for this rule: GMV and platform revenue must remain separate even when both are positive. Re-run the applicable SQL or execute the control in the future configured application.</x:v>
      </x:c>
      <x:c r="G10" s="9" t="str">
        <x:v>GMV and platform revenue must remain separate even when both are positive.</x:v>
      </x:c>
      <x:c r="H10" s="11" t="str">
        <x:v>Not executed</x:v>
      </x:c>
      <x:c r="I10" s="11" t="str"/>
      <x:c r="J10" s="11" t="str"/>
      <x:c r="K10" s="11" t="str"/>
      <x:c r="L10" s="12" t="str"/>
      <x:c r="M10" s="11" t="str"/>
      <x:c r="N10" s="11" t="str">
        <x:v>Pending</x:v>
      </x:c>
      <x:c r="O10" s="1"/>
      <x:c r="P10" s="1"/>
    </x:row>
    <x:row r="11" ht="80" customHeight="1">
      <x:c r="A11" s="9" t="str">
        <x:v>MKT</x:v>
      </x:c>
      <x:c r="B11" s="9" t="str">
        <x:v>MKT-UAT-02-C</x:v>
      </x:c>
      <x:c r="C11" s="9" t="str">
        <x:v>MKT-REQ-02</x:v>
      </x:c>
      <x:c r="D11" s="9" t="str">
        <x:v>Business review</x:v>
      </x:c>
      <x:c r="E11" s="9" t="str">
        <x:v>Use a disposable fixture for changed data; supplied source stays immutable. Application tests require a configured environment.</x:v>
      </x:c>
      <x:c r="F11" s="9" t="str">
        <x:v>Ask the Marketplace Operations Manager to review the labels, scope, evidence, and recommendation against MKT-REQ-02.</x:v>
      </x:c>
      <x:c r="G11" s="9" t="str">
        <x:v>Owner records Approved / Rejected / Needs clarification with a reason and supporting evidence.</x:v>
      </x:c>
      <x:c r="H11" s="11" t="str">
        <x:v>Not executed</x:v>
      </x:c>
      <x:c r="I11" s="11" t="str"/>
      <x:c r="J11" s="11" t="str"/>
      <x:c r="K11" s="11" t="str"/>
      <x:c r="L11" s="12" t="str"/>
      <x:c r="M11" s="11" t="str"/>
      <x:c r="N11" s="11" t="str">
        <x:v>Pending</x:v>
      </x:c>
      <x:c r="O11" s="1"/>
      <x:c r="P11" s="1"/>
    </x:row>
    <x:row r="12" ht="80" customHeight="1">
      <x:c r="A12" s="9" t="str">
        <x:v>MKT</x:v>
      </x:c>
      <x:c r="B12" s="9" t="str">
        <x:v>MKT-UAT-03-A</x:v>
      </x:c>
      <x:c r="C12" s="9" t="str">
        <x:v>MKT-REQ-03</x:v>
      </x:c>
      <x:c r="D12" s="9" t="str">
        <x:v>Acceptance</x:v>
      </x:c>
      <x:c r="E12" s="9" t="str">
        <x:v>Use a disposable fixture for changed data; supplied source stays immutable. Application tests require a configured environment.</x:v>
      </x:c>
      <x:c r="F12" s="9" t="str">
        <x:v>Review requirement MKT-REQ-03; load the unchanged supplied source; inspect Q02 result and independently recompute its control totals.</x:v>
      </x:c>
      <x:c r="G12" s="9" t="str">
        <x:v>A two-row fixture with unequal GMV produces the ratio of sums; zero GMV returns null.</x:v>
      </x:c>
      <x:c r="H12" s="11" t="str">
        <x:v>Not executed</x:v>
      </x:c>
      <x:c r="I12" s="11" t="str"/>
      <x:c r="J12" s="11" t="str"/>
      <x:c r="K12" s="11" t="str"/>
      <x:c r="L12" s="12" t="str"/>
      <x:c r="M12" s="11" t="str"/>
      <x:c r="N12" s="11" t="str">
        <x:v>Pending</x:v>
      </x:c>
      <x:c r="O12" s="1"/>
      <x:c r="P12" s="1"/>
    </x:row>
    <x:row r="13" ht="80" customHeight="1">
      <x:c r="A13" s="9" t="str">
        <x:v>MKT</x:v>
      </x:c>
      <x:c r="B13" s="9" t="str">
        <x:v>MKT-UAT-03-B</x:v>
      </x:c>
      <x:c r="C13" s="9" t="str">
        <x:v>MKT-REQ-03</x:v>
      </x:c>
      <x:c r="D13" s="9" t="str">
        <x:v>Boundary / exception</x:v>
      </x:c>
      <x:c r="E13" s="9" t="str">
        <x:v>Use a disposable fixture for changed data; supplied source stays immutable. Application tests require a configured environment.</x:v>
      </x:c>
      <x:c r="F13" s="9" t="str">
        <x:v>Prepare a disposable case for this rule: Unequal GMV weights must not become an average of row take rates; zero GMV returns null. Re-run the applicable SQL or execute the control in the future configured application.</x:v>
      </x:c>
      <x:c r="G13" s="9" t="str">
        <x:v>Unequal GMV weights must not become an average of row take rates; zero GMV returns null.</x:v>
      </x:c>
      <x:c r="H13" s="11" t="str">
        <x:v>Not executed</x:v>
      </x:c>
      <x:c r="I13" s="11" t="str"/>
      <x:c r="J13" s="11" t="str"/>
      <x:c r="K13" s="11" t="str"/>
      <x:c r="L13" s="12" t="str"/>
      <x:c r="M13" s="11" t="str"/>
      <x:c r="N13" s="11" t="str">
        <x:v>Pending</x:v>
      </x:c>
      <x:c r="O13" s="1"/>
      <x:c r="P13" s="1"/>
    </x:row>
    <x:row r="14" ht="80" customHeight="1">
      <x:c r="A14" s="9" t="str">
        <x:v>MKT</x:v>
      </x:c>
      <x:c r="B14" s="9" t="str">
        <x:v>MKT-UAT-03-C</x:v>
      </x:c>
      <x:c r="C14" s="9" t="str">
        <x:v>MKT-REQ-03</x:v>
      </x:c>
      <x:c r="D14" s="9" t="str">
        <x:v>Business review</x:v>
      </x:c>
      <x:c r="E14" s="9" t="str">
        <x:v>Use a disposable fixture for changed data; supplied source stays immutable. Application tests require a configured environment.</x:v>
      </x:c>
      <x:c r="F14" s="9" t="str">
        <x:v>Ask the Marketplace Operations Manager to review the labels, scope, evidence, and recommendation against MKT-REQ-03.</x:v>
      </x:c>
      <x:c r="G14" s="9" t="str">
        <x:v>Owner records Approved / Rejected / Needs clarification with a reason and supporting evidence.</x:v>
      </x:c>
      <x:c r="H14" s="11" t="str">
        <x:v>Not executed</x:v>
      </x:c>
      <x:c r="I14" s="11" t="str"/>
      <x:c r="J14" s="11" t="str"/>
      <x:c r="K14" s="11" t="str"/>
      <x:c r="L14" s="12" t="str"/>
      <x:c r="M14" s="11" t="str"/>
      <x:c r="N14" s="11" t="str">
        <x:v>Pending</x:v>
      </x:c>
      <x:c r="O14" s="1"/>
      <x:c r="P14" s="1"/>
    </x:row>
    <x:row r="15" ht="80" customHeight="1">
      <x:c r="A15" s="9" t="str">
        <x:v>MKT</x:v>
      </x:c>
      <x:c r="B15" s="9" t="str">
        <x:v>MKT-UAT-04-A</x:v>
      </x:c>
      <x:c r="C15" s="9" t="str">
        <x:v>MKT-REQ-04</x:v>
      </x:c>
      <x:c r="D15" s="9" t="str">
        <x:v>Acceptance</x:v>
      </x:c>
      <x:c r="E15" s="9" t="str">
        <x:v>Use a disposable fixture for changed data; supplied source stays immutable. Application tests require a configured environment.</x:v>
      </x:c>
      <x:c r="F15" s="9" t="str">
        <x:v>Review requirement MKT-REQ-04; load the unchanged supplied source; inspect Q03 result and independently recompute its control totals.</x:v>
      </x:c>
      <x:c r="G15" s="9" t="str">
        <x:v>Seller GMV sums to the portfolio GMV; all shares sum to 1 within tolerance.</x:v>
      </x:c>
      <x:c r="H15" s="11" t="str">
        <x:v>Not executed</x:v>
      </x:c>
      <x:c r="I15" s="11" t="str"/>
      <x:c r="J15" s="11" t="str"/>
      <x:c r="K15" s="11" t="str"/>
      <x:c r="L15" s="12" t="str"/>
      <x:c r="M15" s="11" t="str"/>
      <x:c r="N15" s="11" t="str">
        <x:v>Pending</x:v>
      </x:c>
      <x:c r="O15" s="1"/>
      <x:c r="P15" s="1"/>
    </x:row>
    <x:row r="16" ht="80" customHeight="1">
      <x:c r="A16" s="9" t="str">
        <x:v>MKT</x:v>
      </x:c>
      <x:c r="B16" s="9" t="str">
        <x:v>MKT-UAT-04-B</x:v>
      </x:c>
      <x:c r="C16" s="9" t="str">
        <x:v>MKT-REQ-04</x:v>
      </x:c>
      <x:c r="D16" s="9" t="str">
        <x:v>Boundary / exception</x:v>
      </x:c>
      <x:c r="E16" s="9" t="str">
        <x:v>Use a disposable fixture for changed data; supplied source stays immutable. Application tests require a configured environment.</x:v>
      </x:c>
      <x:c r="F16" s="9" t="str">
        <x:v>Prepare a disposable case for this rule: A seller with zero GMV has undefined share/rate where its denominator is zero. Re-run the applicable SQL or execute the control in the future configured application.</x:v>
      </x:c>
      <x:c r="G16" s="9" t="str">
        <x:v>A seller with zero GMV has undefined share/rate where its denominator is zero.</x:v>
      </x:c>
      <x:c r="H16" s="11" t="str">
        <x:v>Not executed</x:v>
      </x:c>
      <x:c r="I16" s="11" t="str"/>
      <x:c r="J16" s="11" t="str"/>
      <x:c r="K16" s="11" t="str"/>
      <x:c r="L16" s="12" t="str"/>
      <x:c r="M16" s="11" t="str"/>
      <x:c r="N16" s="11" t="str">
        <x:v>Pending</x:v>
      </x:c>
      <x:c r="O16" s="1"/>
      <x:c r="P16" s="1"/>
    </x:row>
    <x:row r="17" ht="80" customHeight="1">
      <x:c r="A17" s="9" t="str">
        <x:v>MKT</x:v>
      </x:c>
      <x:c r="B17" s="9" t="str">
        <x:v>MKT-UAT-04-C</x:v>
      </x:c>
      <x:c r="C17" s="9" t="str">
        <x:v>MKT-REQ-04</x:v>
      </x:c>
      <x:c r="D17" s="9" t="str">
        <x:v>Business review</x:v>
      </x:c>
      <x:c r="E17" s="9" t="str">
        <x:v>Use a disposable fixture for changed data; supplied source stays immutable. Application tests require a configured environment.</x:v>
      </x:c>
      <x:c r="F17" s="9" t="str">
        <x:v>Ask the Marketplace Operations Manager to review the labels, scope, evidence, and recommendation against MKT-REQ-04.</x:v>
      </x:c>
      <x:c r="G17" s="9" t="str">
        <x:v>Owner records Approved / Rejected / Needs clarification with a reason and supporting evidence.</x:v>
      </x:c>
      <x:c r="H17" s="11" t="str">
        <x:v>Not executed</x:v>
      </x:c>
      <x:c r="I17" s="11" t="str"/>
      <x:c r="J17" s="11" t="str"/>
      <x:c r="K17" s="11" t="str"/>
      <x:c r="L17" s="12" t="str"/>
      <x:c r="M17" s="11" t="str"/>
      <x:c r="N17" s="11" t="str">
        <x:v>Pending</x:v>
      </x:c>
      <x:c r="O17" s="1"/>
      <x:c r="P17" s="1"/>
    </x:row>
    <x:row r="18" ht="80" customHeight="1">
      <x:c r="A18" s="9" t="str">
        <x:v>MKT</x:v>
      </x:c>
      <x:c r="B18" s="9" t="str">
        <x:v>MKT-UAT-05-A</x:v>
      </x:c>
      <x:c r="C18" s="9" t="str">
        <x:v>MKT-REQ-05</x:v>
      </x:c>
      <x:c r="D18" s="9" t="str">
        <x:v>Acceptance</x:v>
      </x:c>
      <x:c r="E18" s="9" t="str">
        <x:v>Use a disposable fixture for changed data; supplied source stays immutable. Application tests require a configured environment.</x:v>
      </x:c>
      <x:c r="F18" s="9" t="str">
        <x:v>Review requirement MKT-REQ-05; load the unchanged supplied source; inspect Q04 result and independently recompute its control totals.</x:v>
      </x:c>
      <x:c r="G18" s="9" t="str">
        <x:v>Cumulative share is nondecreasing and the final row reaches 1.</x:v>
      </x:c>
      <x:c r="H18" s="11" t="str">
        <x:v>Not executed</x:v>
      </x:c>
      <x:c r="I18" s="11" t="str"/>
      <x:c r="J18" s="11" t="str"/>
      <x:c r="K18" s="11" t="str"/>
      <x:c r="L18" s="12" t="str"/>
      <x:c r="M18" s="11" t="str"/>
      <x:c r="N18" s="11" t="str">
        <x:v>Pending</x:v>
      </x:c>
      <x:c r="O18" s="1"/>
      <x:c r="P18" s="1"/>
    </x:row>
    <x:row r="19" ht="80" customHeight="1">
      <x:c r="A19" s="9" t="str">
        <x:v>MKT</x:v>
      </x:c>
      <x:c r="B19" s="9" t="str">
        <x:v>MKT-UAT-05-B</x:v>
      </x:c>
      <x:c r="C19" s="9" t="str">
        <x:v>MKT-REQ-05</x:v>
      </x:c>
      <x:c r="D19" s="9" t="str">
        <x:v>Boundary / exception</x:v>
      </x:c>
      <x:c r="E19" s="9" t="str">
        <x:v>Use a disposable fixture for changed data; supplied source stays immutable. Application tests require a configured environment.</x:v>
      </x:c>
      <x:c r="F19" s="9" t="str">
        <x:v>Prepare a disposable case for this rule: Ties sort by product_id; the final cumulative share reaches 1 when total GMV is positive. Re-run the applicable SQL or execute the control in the future configured application.</x:v>
      </x:c>
      <x:c r="G19" s="9" t="str">
        <x:v>Ties sort by product_id; the final cumulative share reaches 1 when total GMV is positive.</x:v>
      </x:c>
      <x:c r="H19" s="11" t="str">
        <x:v>Not executed</x:v>
      </x:c>
      <x:c r="I19" s="11" t="str"/>
      <x:c r="J19" s="11" t="str"/>
      <x:c r="K19" s="11" t="str"/>
      <x:c r="L19" s="12" t="str"/>
      <x:c r="M19" s="11" t="str"/>
      <x:c r="N19" s="11" t="str">
        <x:v>Pending</x:v>
      </x:c>
      <x:c r="O19" s="1"/>
      <x:c r="P19" s="1"/>
    </x:row>
    <x:row r="20" ht="80" customHeight="1">
      <x:c r="A20" s="9" t="str">
        <x:v>MKT</x:v>
      </x:c>
      <x:c r="B20" s="9" t="str">
        <x:v>MKT-UAT-05-C</x:v>
      </x:c>
      <x:c r="C20" s="9" t="str">
        <x:v>MKT-REQ-05</x:v>
      </x:c>
      <x:c r="D20" s="9" t="str">
        <x:v>Business review</x:v>
      </x:c>
      <x:c r="E20" s="9" t="str">
        <x:v>Use a disposable fixture for changed data; supplied source stays immutable. Application tests require a configured environment.</x:v>
      </x:c>
      <x:c r="F20" s="9" t="str">
        <x:v>Ask the Marketplace Operations Manager to review the labels, scope, evidence, and recommendation against MKT-REQ-05.</x:v>
      </x:c>
      <x:c r="G20" s="9" t="str">
        <x:v>Owner records Approved / Rejected / Needs clarification with a reason and supporting evidence.</x:v>
      </x:c>
      <x:c r="H20" s="11" t="str">
        <x:v>Not executed</x:v>
      </x:c>
      <x:c r="I20" s="11" t="str"/>
      <x:c r="J20" s="11" t="str"/>
      <x:c r="K20" s="11" t="str"/>
      <x:c r="L20" s="12" t="str"/>
      <x:c r="M20" s="11" t="str"/>
      <x:c r="N20" s="11" t="str">
        <x:v>Pending</x:v>
      </x:c>
      <x:c r="O20" s="1"/>
      <x:c r="P20" s="1"/>
    </x:row>
    <x:row r="21" ht="80" customHeight="1">
      <x:c r="A21" s="9" t="str">
        <x:v>MKT</x:v>
      </x:c>
      <x:c r="B21" s="9" t="str">
        <x:v>MKT-UAT-06-A</x:v>
      </x:c>
      <x:c r="C21" s="9" t="str">
        <x:v>MKT-REQ-06</x:v>
      </x:c>
      <x:c r="D21" s="9" t="str">
        <x:v>Acceptance</x:v>
      </x:c>
      <x:c r="E21" s="9" t="str">
        <x:v>Use a disposable fixture for changed data; supplied source stays immutable. Application tests require a configured environment.</x:v>
      </x:c>
      <x:c r="F21" s="9" t="str">
        <x:v>Review requirement MKT-REQ-06; load the unchanged supplied source; inspect Q02 result and independently recompute its control totals.</x:v>
      </x:c>
      <x:c r="G21" s="9" t="str">
        <x:v>First month has no prior comparison; months sort chronologically.</x:v>
      </x:c>
      <x:c r="H21" s="11" t="str">
        <x:v>Not executed</x:v>
      </x:c>
      <x:c r="I21" s="11" t="str"/>
      <x:c r="J21" s="11" t="str"/>
      <x:c r="K21" s="11" t="str"/>
      <x:c r="L21" s="12" t="str"/>
      <x:c r="M21" s="11" t="str"/>
      <x:c r="N21" s="11" t="str">
        <x:v>Pending</x:v>
      </x:c>
      <x:c r="O21" s="1"/>
      <x:c r="P21" s="1"/>
    </x:row>
    <x:row r="22" ht="80" customHeight="1">
      <x:c r="A22" s="9" t="str">
        <x:v>MKT</x:v>
      </x:c>
      <x:c r="B22" s="9" t="str">
        <x:v>MKT-UAT-06-B</x:v>
      </x:c>
      <x:c r="C22" s="9" t="str">
        <x:v>MKT-REQ-06</x:v>
      </x:c>
      <x:c r="D22" s="9" t="str">
        <x:v>Boundary / exception</x:v>
      </x:c>
      <x:c r="E22" s="9" t="str">
        <x:v>Use a disposable fixture for changed data; supplied source stays immutable. Application tests require a configured environment.</x:v>
      </x:c>
      <x:c r="F22" s="9" t="str">
        <x:v>Prepare a disposable case for this rule: First month has no change; production comparisons require adjacent months and complete coverage. Re-run the applicable SQL or execute the control in the future configured application.</x:v>
      </x:c>
      <x:c r="G22" s="9" t="str">
        <x:v>First month has no change; production comparisons require adjacent months and complete coverage.</x:v>
      </x:c>
      <x:c r="H22" s="11" t="str">
        <x:v>Not executed</x:v>
      </x:c>
      <x:c r="I22" s="11" t="str"/>
      <x:c r="J22" s="11" t="str"/>
      <x:c r="K22" s="11" t="str"/>
      <x:c r="L22" s="12" t="str"/>
      <x:c r="M22" s="11" t="str"/>
      <x:c r="N22" s="11" t="str">
        <x:v>Pending</x:v>
      </x:c>
      <x:c r="O22" s="1"/>
      <x:c r="P22" s="1"/>
    </x:row>
    <x:row r="23" ht="80" customHeight="1">
      <x:c r="A23" s="9" t="str">
        <x:v>MKT</x:v>
      </x:c>
      <x:c r="B23" s="9" t="str">
        <x:v>MKT-UAT-06-C</x:v>
      </x:c>
      <x:c r="C23" s="9" t="str">
        <x:v>MKT-REQ-06</x:v>
      </x:c>
      <x:c r="D23" s="9" t="str">
        <x:v>Business review</x:v>
      </x:c>
      <x:c r="E23" s="9" t="str">
        <x:v>Use a disposable fixture for changed data; supplied source stays immutable. Application tests require a configured environment.</x:v>
      </x:c>
      <x:c r="F23" s="9" t="str">
        <x:v>Ask the Marketplace Operations Manager to review the labels, scope, evidence, and recommendation against MKT-REQ-06.</x:v>
      </x:c>
      <x:c r="G23" s="9" t="str">
        <x:v>Owner records Approved / Rejected / Needs clarification with a reason and supporting evidence.</x:v>
      </x:c>
      <x:c r="H23" s="11" t="str">
        <x:v>Not executed</x:v>
      </x:c>
      <x:c r="I23" s="11" t="str"/>
      <x:c r="J23" s="11" t="str"/>
      <x:c r="K23" s="11" t="str"/>
      <x:c r="L23" s="12" t="str"/>
      <x:c r="M23" s="11" t="str"/>
      <x:c r="N23" s="11" t="str">
        <x:v>Pending</x:v>
      </x:c>
      <x:c r="O23" s="1"/>
      <x:c r="P23" s="1"/>
    </x:row>
    <x:row r="24" ht="80" customHeight="1">
      <x:c r="A24" s="9" t="str">
        <x:v>MKT</x:v>
      </x:c>
      <x:c r="B24" s="9" t="str">
        <x:v>MKT-UAT-07-A</x:v>
      </x:c>
      <x:c r="C24" s="9" t="str">
        <x:v>MKT-REQ-07</x:v>
      </x:c>
      <x:c r="D24" s="9" t="str">
        <x:v>Acceptance</x:v>
      </x:c>
      <x:c r="E24" s="9" t="str">
        <x:v>Use a disposable fixture for changed data; supplied source stays immutable. Application tests require a configured environment.</x:v>
      </x:c>
      <x:c r="F24" s="9" t="str">
        <x:v>Review requirement MKT-REQ-07; load the unchanged supplied source; inspect the proposed control and execute it in a future configured application.</x:v>
      </x:c>
      <x:c r="G24" s="9" t="str">
        <x:v>A future role test denies viewer export and records an audit event; current CSV prototype is local only.</x:v>
      </x:c>
      <x:c r="H24" s="11" t="str">
        <x:v>Not executed</x:v>
      </x:c>
      <x:c r="I24" s="11" t="str"/>
      <x:c r="J24" s="11" t="str"/>
      <x:c r="K24" s="11" t="str"/>
      <x:c r="L24" s="12" t="str"/>
      <x:c r="M24" s="11" t="str"/>
      <x:c r="N24" s="11" t="str">
        <x:v>Pending</x:v>
      </x:c>
      <x:c r="O24" s="1"/>
      <x:c r="P24" s="1"/>
    </x:row>
    <x:row r="25" ht="80" customHeight="1">
      <x:c r="A25" s="9" t="str">
        <x:v>MKT</x:v>
      </x:c>
      <x:c r="B25" s="9" t="str">
        <x:v>MKT-UAT-07-B</x:v>
      </x:c>
      <x:c r="C25" s="9" t="str">
        <x:v>MKT-REQ-07</x:v>
      </x:c>
      <x:c r="D25" s="9" t="str">
        <x:v>Boundary / exception</x:v>
      </x:c>
      <x:c r="E25" s="9" t="str">
        <x:v>Use a disposable fixture for changed data; supplied source stays immutable. Application tests require a configured environment.</x:v>
      </x:c>
      <x:c r="F25" s="9" t="str">
        <x:v>Prepare a disposable case for this rule: Reject unauthorized seller export; request reauthentication and audit the denial in the proposed application. Re-run the applicable SQL or execute the control in the future configured application.</x:v>
      </x:c>
      <x:c r="G25" s="9" t="str">
        <x:v>Reject unauthorized seller export; request reauthentication and audit the denial in the proposed application.</x:v>
      </x:c>
      <x:c r="H25" s="11" t="str">
        <x:v>Not executed</x:v>
      </x:c>
      <x:c r="I25" s="11" t="str"/>
      <x:c r="J25" s="11" t="str"/>
      <x:c r="K25" s="11" t="str"/>
      <x:c r="L25" s="12" t="str"/>
      <x:c r="M25" s="11" t="str"/>
      <x:c r="N25" s="11" t="str">
        <x:v>Pending</x:v>
      </x:c>
      <x:c r="O25" s="1"/>
      <x:c r="P25" s="1"/>
    </x:row>
    <x:row r="26" ht="80" customHeight="1">
      <x:c r="A26" s="9" t="str">
        <x:v>MKT</x:v>
      </x:c>
      <x:c r="B26" s="9" t="str">
        <x:v>MKT-UAT-07-C</x:v>
      </x:c>
      <x:c r="C26" s="9" t="str">
        <x:v>MKT-REQ-07</x:v>
      </x:c>
      <x:c r="D26" s="9" t="str">
        <x:v>Business review</x:v>
      </x:c>
      <x:c r="E26" s="9" t="str">
        <x:v>Use a disposable fixture for changed data; supplied source stays immutable. Application tests require a configured environment.</x:v>
      </x:c>
      <x:c r="F26" s="9" t="str">
        <x:v>Ask the Marketplace Operations Manager to review the labels, scope, evidence, and recommendation against MKT-REQ-07.</x:v>
      </x:c>
      <x:c r="G26" s="9" t="str">
        <x:v>Owner records Approved / Rejected / Needs clarification with a reason and supporting evidence.</x:v>
      </x:c>
      <x:c r="H26" s="11" t="str">
        <x:v>Not executed</x:v>
      </x:c>
      <x:c r="I26" s="11" t="str"/>
      <x:c r="J26" s="11" t="str"/>
      <x:c r="K26" s="11" t="str"/>
      <x:c r="L26" s="12" t="str"/>
      <x:c r="M26" s="11" t="str"/>
      <x:c r="N26" s="11" t="str">
        <x:v>Pending</x:v>
      </x:c>
      <x:c r="O26" s="1"/>
      <x:c r="P26" s="1"/>
    </x:row>
    <x:row r="27" ht="80" customHeight="1">
      <x:c r="A27" s="9" t="str">
        <x:v>MKT</x:v>
      </x:c>
      <x:c r="B27" s="9" t="str">
        <x:v>MKT-UAT-08-A</x:v>
      </x:c>
      <x:c r="C27" s="9" t="str">
        <x:v>MKT-REQ-08</x:v>
      </x:c>
      <x:c r="D27" s="9" t="str">
        <x:v>Acceptance</x:v>
      </x:c>
      <x:c r="E27" s="9" t="str">
        <x:v>Use a disposable fixture for changed data; supplied source stays immutable. Application tests require a configured environment.</x:v>
      </x:c>
      <x:c r="F27" s="9" t="str">
        <x:v>Review requirement MKT-REQ-08; load the unchanged supplied source; inspect Q03 result and independently recompute its control totals.</x:v>
      </x:c>
      <x:c r="G27" s="9" t="str">
        <x:v>Every recommendation identifies an owner, supporting result, uncertainty, and next validation step.</x:v>
      </x:c>
      <x:c r="H27" s="11" t="str">
        <x:v>Not executed</x:v>
      </x:c>
      <x:c r="I27" s="11" t="str"/>
      <x:c r="J27" s="11" t="str"/>
      <x:c r="K27" s="11" t="str"/>
      <x:c r="L27" s="12" t="str"/>
      <x:c r="M27" s="11" t="str"/>
      <x:c r="N27" s="11" t="str">
        <x:v>Pending</x:v>
      </x:c>
      <x:c r="O27" s="1"/>
      <x:c r="P27" s="1"/>
    </x:row>
    <x:row r="28" ht="80" customHeight="1">
      <x:c r="A28" s="9" t="str">
        <x:v>MKT</x:v>
      </x:c>
      <x:c r="B28" s="9" t="str">
        <x:v>MKT-UAT-08-B</x:v>
      </x:c>
      <x:c r="C28" s="9" t="str">
        <x:v>MKT-REQ-08</x:v>
      </x:c>
      <x:c r="D28" s="9" t="str">
        <x:v>Boundary / exception</x:v>
      </x:c>
      <x:c r="E28" s="9" t="str">
        <x:v>Use a disposable fixture for changed data; supplied source stays immutable. Application tests require a configured environment.</x:v>
      </x:c>
      <x:c r="F28" s="9" t="str">
        <x:v>Prepare a disposable case for this rule: High contribution alone does not prove poor seller performance or justify a fee change. Re-run the applicable SQL or execute the control in the future configured application.</x:v>
      </x:c>
      <x:c r="G28" s="9" t="str">
        <x:v>High contribution alone does not prove poor seller performance or justify a fee change.</x:v>
      </x:c>
      <x:c r="H28" s="11" t="str">
        <x:v>Not executed</x:v>
      </x:c>
      <x:c r="I28" s="11" t="str"/>
      <x:c r="J28" s="11" t="str"/>
      <x:c r="K28" s="11" t="str"/>
      <x:c r="L28" s="12" t="str"/>
      <x:c r="M28" s="11" t="str"/>
      <x:c r="N28" s="11" t="str">
        <x:v>Pending</x:v>
      </x:c>
      <x:c r="O28" s="1"/>
      <x:c r="P28" s="1"/>
    </x:row>
    <x:row r="29" ht="80" customHeight="1">
      <x:c r="A29" s="9" t="str">
        <x:v>MKT</x:v>
      </x:c>
      <x:c r="B29" s="9" t="str">
        <x:v>MKT-UAT-08-C</x:v>
      </x:c>
      <x:c r="C29" s="9" t="str">
        <x:v>MKT-REQ-08</x:v>
      </x:c>
      <x:c r="D29" s="9" t="str">
        <x:v>Business review</x:v>
      </x:c>
      <x:c r="E29" s="9" t="str">
        <x:v>Use a disposable fixture for changed data; supplied source stays immutable. Application tests require a configured environment.</x:v>
      </x:c>
      <x:c r="F29" s="9" t="str">
        <x:v>Ask the Marketplace Operations Manager to review the labels, scope, evidence, and recommendation against MKT-REQ-08.</x:v>
      </x:c>
      <x:c r="G29" s="9" t="str">
        <x:v>Owner records Approved / Rejected / Needs clarification with a reason and supporting evidence.</x:v>
      </x:c>
      <x:c r="H29" s="11" t="str">
        <x:v>Not executed</x:v>
      </x:c>
      <x:c r="I29" s="11" t="str"/>
      <x:c r="J29" s="11" t="str"/>
      <x:c r="K29" s="11" t="str"/>
      <x:c r="L29" s="12" t="str"/>
      <x:c r="M29" s="11" t="str"/>
      <x:c r="N29" s="11" t="str">
        <x:v>Pending</x:v>
      </x:c>
      <x:c r="O29" s="1"/>
      <x:c r="P29" s="1"/>
    </x:row>
    <x:row r="30" ht="80" customHeight="1">
      <x:c r="A30" s="9" t="str">
        <x:v>ECOM</x:v>
      </x:c>
      <x:c r="B30" s="9" t="str">
        <x:v>ECOM-UAT-01-A</x:v>
      </x:c>
      <x:c r="C30" s="9" t="str">
        <x:v>ECOM-REQ-01</x:v>
      </x:c>
      <x:c r="D30" s="9" t="str">
        <x:v>Acceptance</x:v>
      </x:c>
      <x:c r="E30" s="9" t="str">
        <x:v>Use a disposable fixture for changed data; supplied source stays immutable. Application tests require a configured environment.</x:v>
      </x:c>
      <x:c r="F30" s="9" t="str">
        <x:v>Review requirement ECOM-REQ-01; load the unchanged supplied source; inspect Q01 result and independently recompute its control totals.</x:v>
      </x:c>
      <x:c r="G30" s="9" t="str">
        <x:v>Row count equals the source count; repeated-row count is profiled and disclosed.</x:v>
      </x:c>
      <x:c r="H30" s="11" t="str">
        <x:v>Not executed</x:v>
      </x:c>
      <x:c r="I30" s="11" t="str"/>
      <x:c r="J30" s="11" t="str"/>
      <x:c r="K30" s="11" t="str"/>
      <x:c r="L30" s="12" t="str"/>
      <x:c r="M30" s="11" t="str"/>
      <x:c r="N30" s="11" t="str">
        <x:v>Pending</x:v>
      </x:c>
      <x:c r="O30" s="1"/>
      <x:c r="P30" s="1"/>
    </x:row>
    <x:row r="31" ht="80" customHeight="1">
      <x:c r="A31" s="9" t="str">
        <x:v>ECOM</x:v>
      </x:c>
      <x:c r="B31" s="9" t="str">
        <x:v>ECOM-UAT-01-B</x:v>
      </x:c>
      <x:c r="C31" s="9" t="str">
        <x:v>ECOM-REQ-01</x:v>
      </x:c>
      <x:c r="D31" s="9" t="str">
        <x:v>Boundary / exception</x:v>
      </x:c>
      <x:c r="E31" s="9" t="str">
        <x:v>Use a disposable fixture for changed data; supplied source stays immutable. Application tests require a configured environment.</x:v>
      </x:c>
      <x:c r="F31" s="9" t="str">
        <x:v>Prepare a disposable case for this rule: Repeated anonymous rows are retained because no event key proves duplication. Re-run the applicable SQL or execute the control in the future configured application.</x:v>
      </x:c>
      <x:c r="G31" s="9" t="str">
        <x:v>Repeated anonymous rows are retained because no event key proves duplication.</x:v>
      </x:c>
      <x:c r="H31" s="11" t="str">
        <x:v>Not executed</x:v>
      </x:c>
      <x:c r="I31" s="11" t="str"/>
      <x:c r="J31" s="11" t="str"/>
      <x:c r="K31" s="11" t="str"/>
      <x:c r="L31" s="12" t="str"/>
      <x:c r="M31" s="11" t="str"/>
      <x:c r="N31" s="11" t="str">
        <x:v>Pending</x:v>
      </x:c>
      <x:c r="O31" s="1"/>
      <x:c r="P31" s="1"/>
    </x:row>
    <x:row r="32" ht="80" customHeight="1">
      <x:c r="A32" s="9" t="str">
        <x:v>ECOM</x:v>
      </x:c>
      <x:c r="B32" s="9" t="str">
        <x:v>ECOM-UAT-01-C</x:v>
      </x:c>
      <x:c r="C32" s="9" t="str">
        <x:v>ECOM-REQ-01</x:v>
      </x:c>
      <x:c r="D32" s="9" t="str">
        <x:v>Business review</x:v>
      </x:c>
      <x:c r="E32" s="9" t="str">
        <x:v>Use a disposable fixture for changed data; supplied source stays immutable. Application tests require a configured environment.</x:v>
      </x:c>
      <x:c r="F32" s="9" t="str">
        <x:v>Ask the Checkout Product Manager to review the labels, scope, evidence, and recommendation against ECOM-REQ-01.</x:v>
      </x:c>
      <x:c r="G32" s="9" t="str">
        <x:v>Owner records Approved / Rejected / Needs clarification with a reason and supporting evidence.</x:v>
      </x:c>
      <x:c r="H32" s="11" t="str">
        <x:v>Not executed</x:v>
      </x:c>
      <x:c r="I32" s="11" t="str"/>
      <x:c r="J32" s="11" t="str"/>
      <x:c r="K32" s="11" t="str"/>
      <x:c r="L32" s="12" t="str"/>
      <x:c r="M32" s="11" t="str"/>
      <x:c r="N32" s="11" t="str">
        <x:v>Pending</x:v>
      </x:c>
      <x:c r="O32" s="1"/>
      <x:c r="P32" s="1"/>
    </x:row>
    <x:row r="33" ht="80" customHeight="1">
      <x:c r="A33" s="9" t="str">
        <x:v>ECOM</x:v>
      </x:c>
      <x:c r="B33" s="9" t="str">
        <x:v>ECOM-UAT-02-A</x:v>
      </x:c>
      <x:c r="C33" s="9" t="str">
        <x:v>ECOM-REQ-02</x:v>
      </x:c>
      <x:c r="D33" s="9" t="str">
        <x:v>Acceptance</x:v>
      </x:c>
      <x:c r="E33" s="9" t="str">
        <x:v>Use a disposable fixture for changed data; supplied source stays immutable. Application tests require a configured environment.</x:v>
      </x:c>
      <x:c r="F33" s="9" t="str">
        <x:v>Review requirement ECOM-REQ-02; load the unchanged supplied source; inspect Q01 result and independently recompute its control totals.</x:v>
      </x:c>
      <x:c r="G33" s="9" t="str">
        <x:v>Every violating observation is reported; the supplied file passes or is explicitly flagged.</x:v>
      </x:c>
      <x:c r="H33" s="11" t="str">
        <x:v>Not executed</x:v>
      </x:c>
      <x:c r="I33" s="11" t="str"/>
      <x:c r="J33" s="11" t="str"/>
      <x:c r="K33" s="11" t="str"/>
      <x:c r="L33" s="12" t="str"/>
      <x:c r="M33" s="11" t="str"/>
      <x:c r="N33" s="11" t="str">
        <x:v>Pending</x:v>
      </x:c>
      <x:c r="O33" s="1"/>
      <x:c r="P33" s="1"/>
    </x:row>
    <x:row r="34" ht="80" customHeight="1">
      <x:c r="A34" s="9" t="str">
        <x:v>ECOM</x:v>
      </x:c>
      <x:c r="B34" s="9" t="str">
        <x:v>ECOM-UAT-02-B</x:v>
      </x:c>
      <x:c r="C34" s="9" t="str">
        <x:v>ECOM-REQ-02</x:v>
      </x:c>
      <x:c r="D34" s="9" t="str">
        <x:v>Boundary / exception</x:v>
      </x:c>
      <x:c r="E34" s="9" t="str">
        <x:v>Use a disposable fixture for changed data; supplied source stays immutable. Application tests require a configured environment.</x:v>
      </x:c>
      <x:c r="F34" s="9" t="str">
        <x:v>Prepare a disposable case for this rule: A later stage greater than an earlier stage is a data exception, not a valid funnel. Re-run the applicable SQL or execute the control in the future configured application.</x:v>
      </x:c>
      <x:c r="G34" s="9" t="str">
        <x:v>A later stage greater than an earlier stage is a data exception, not a valid funnel.</x:v>
      </x:c>
      <x:c r="H34" s="11" t="str">
        <x:v>Not executed</x:v>
      </x:c>
      <x:c r="I34" s="11" t="str"/>
      <x:c r="J34" s="11" t="str"/>
      <x:c r="K34" s="11" t="str"/>
      <x:c r="L34" s="12" t="str"/>
      <x:c r="M34" s="11" t="str"/>
      <x:c r="N34" s="11" t="str">
        <x:v>Pending</x:v>
      </x:c>
      <x:c r="O34" s="1"/>
      <x:c r="P34" s="1"/>
    </x:row>
    <x:row r="35" ht="80" customHeight="1">
      <x:c r="A35" s="9" t="str">
        <x:v>ECOM</x:v>
      </x:c>
      <x:c r="B35" s="9" t="str">
        <x:v>ECOM-UAT-02-C</x:v>
      </x:c>
      <x:c r="C35" s="9" t="str">
        <x:v>ECOM-REQ-02</x:v>
      </x:c>
      <x:c r="D35" s="9" t="str">
        <x:v>Business review</x:v>
      </x:c>
      <x:c r="E35" s="9" t="str">
        <x:v>Use a disposable fixture for changed data; supplied source stays immutable. Application tests require a configured environment.</x:v>
      </x:c>
      <x:c r="F35" s="9" t="str">
        <x:v>Ask the Checkout Product Manager to review the labels, scope, evidence, and recommendation against ECOM-REQ-02.</x:v>
      </x:c>
      <x:c r="G35" s="9" t="str">
        <x:v>Owner records Approved / Rejected / Needs clarification with a reason and supporting evidence.</x:v>
      </x:c>
      <x:c r="H35" s="11" t="str">
        <x:v>Not executed</x:v>
      </x:c>
      <x:c r="I35" s="11" t="str"/>
      <x:c r="J35" s="11" t="str"/>
      <x:c r="K35" s="11" t="str"/>
      <x:c r="L35" s="12" t="str"/>
      <x:c r="M35" s="11" t="str"/>
      <x:c r="N35" s="11" t="str">
        <x:v>Pending</x:v>
      </x:c>
      <x:c r="O35" s="1"/>
      <x:c r="P35" s="1"/>
    </x:row>
    <x:row r="36" ht="80" customHeight="1">
      <x:c r="A36" s="9" t="str">
        <x:v>ECOM</x:v>
      </x:c>
      <x:c r="B36" s="9" t="str">
        <x:v>ECOM-UAT-03-A</x:v>
      </x:c>
      <x:c r="C36" s="9" t="str">
        <x:v>ECOM-REQ-03</x:v>
      </x:c>
      <x:c r="D36" s="9" t="str">
        <x:v>Acceptance</x:v>
      </x:c>
      <x:c r="E36" s="9" t="str">
        <x:v>Use a disposable fixture for changed data; supplied source stays immutable. Application tests require a configured environment.</x:v>
      </x:c>
      <x:c r="F36" s="9" t="str">
        <x:v>Review requirement ECOM-REQ-03; load the unchanged supplied source; inspect Q02 result and independently recompute its control totals.</x:v>
      </x:c>
      <x:c r="G36" s="9" t="str">
        <x:v>Zero denominators return null; a weighted fixture matches independently calculated results.</x:v>
      </x:c>
      <x:c r="H36" s="11" t="str">
        <x:v>Not executed</x:v>
      </x:c>
      <x:c r="I36" s="11" t="str"/>
      <x:c r="J36" s="11" t="str"/>
      <x:c r="K36" s="11" t="str"/>
      <x:c r="L36" s="12" t="str"/>
      <x:c r="M36" s="11" t="str"/>
      <x:c r="N36" s="11" t="str">
        <x:v>Pending</x:v>
      </x:c>
      <x:c r="O36" s="1"/>
      <x:c r="P36" s="1"/>
    </x:row>
    <x:row r="37" ht="80" customHeight="1">
      <x:c r="A37" s="9" t="str">
        <x:v>ECOM</x:v>
      </x:c>
      <x:c r="B37" s="9" t="str">
        <x:v>ECOM-UAT-03-B</x:v>
      </x:c>
      <x:c r="C37" s="9" t="str">
        <x:v>ECOM-REQ-03</x:v>
      </x:c>
      <x:c r="D37" s="9" t="str">
        <x:v>Boundary / exception</x:v>
      </x:c>
      <x:c r="E37" s="9" t="str">
        <x:v>Use a disposable fixture for changed data; supplied source stays immutable. Application tests require a configured environment.</x:v>
      </x:c>
      <x:c r="F37" s="9" t="str">
        <x:v>Prepare a disposable case for this rule: Zero prior-stage count produces undefined transition rate, never zero conversion by default. Re-run the applicable SQL or execute the control in the future configured application.</x:v>
      </x:c>
      <x:c r="G37" s="9" t="str">
        <x:v>Zero prior-stage count produces undefined transition rate, never zero conversion by default.</x:v>
      </x:c>
      <x:c r="H37" s="11" t="str">
        <x:v>Not executed</x:v>
      </x:c>
      <x:c r="I37" s="11" t="str"/>
      <x:c r="J37" s="11" t="str"/>
      <x:c r="K37" s="11" t="str"/>
      <x:c r="L37" s="12" t="str"/>
      <x:c r="M37" s="11" t="str"/>
      <x:c r="N37" s="11" t="str">
        <x:v>Pending</x:v>
      </x:c>
      <x:c r="O37" s="1"/>
      <x:c r="P37" s="1"/>
    </x:row>
    <x:row r="38" ht="80" customHeight="1">
      <x:c r="A38" s="9" t="str">
        <x:v>ECOM</x:v>
      </x:c>
      <x:c r="B38" s="9" t="str">
        <x:v>ECOM-UAT-03-C</x:v>
      </x:c>
      <x:c r="C38" s="9" t="str">
        <x:v>ECOM-REQ-03</x:v>
      </x:c>
      <x:c r="D38" s="9" t="str">
        <x:v>Business review</x:v>
      </x:c>
      <x:c r="E38" s="9" t="str">
        <x:v>Use a disposable fixture for changed data; supplied source stays immutable. Application tests require a configured environment.</x:v>
      </x:c>
      <x:c r="F38" s="9" t="str">
        <x:v>Ask the Checkout Product Manager to review the labels, scope, evidence, and recommendation against ECOM-REQ-03.</x:v>
      </x:c>
      <x:c r="G38" s="9" t="str">
        <x:v>Owner records Approved / Rejected / Needs clarification with a reason and supporting evidence.</x:v>
      </x:c>
      <x:c r="H38" s="11" t="str">
        <x:v>Not executed</x:v>
      </x:c>
      <x:c r="I38" s="11" t="str"/>
      <x:c r="J38" s="11" t="str"/>
      <x:c r="K38" s="11" t="str"/>
      <x:c r="L38" s="12" t="str"/>
      <x:c r="M38" s="11" t="str"/>
      <x:c r="N38" s="11" t="str">
        <x:v>Pending</x:v>
      </x:c>
      <x:c r="O38" s="1"/>
      <x:c r="P38" s="1"/>
    </x:row>
    <x:row r="39" ht="80" customHeight="1">
      <x:c r="A39" s="9" t="str">
        <x:v>ECOM</x:v>
      </x:c>
      <x:c r="B39" s="9" t="str">
        <x:v>ECOM-UAT-04-A</x:v>
      </x:c>
      <x:c r="C39" s="9" t="str">
        <x:v>ECOM-REQ-04</x:v>
      </x:c>
      <x:c r="D39" s="9" t="str">
        <x:v>Acceptance</x:v>
      </x:c>
      <x:c r="E39" s="9" t="str">
        <x:v>Use a disposable fixture for changed data; supplied source stays immutable. Application tests require a configured environment.</x:v>
      </x:c>
      <x:c r="F39" s="9" t="str">
        <x:v>Review requirement ECOM-REQ-04; load the unchanged supplied source; inspect Q02 result and independently recompute its control totals.</x:v>
      </x:c>
      <x:c r="G39" s="9" t="str">
        <x:v>Device stage counts reconcile to portfolio totals and comparisons use identical periods.</x:v>
      </x:c>
      <x:c r="H39" s="11" t="str">
        <x:v>Not executed</x:v>
      </x:c>
      <x:c r="I39" s="11" t="str"/>
      <x:c r="J39" s="11" t="str"/>
      <x:c r="K39" s="11" t="str"/>
      <x:c r="L39" s="12" t="str"/>
      <x:c r="M39" s="11" t="str"/>
      <x:c r="N39" s="11" t="str">
        <x:v>Pending</x:v>
      </x:c>
      <x:c r="O39" s="1"/>
      <x:c r="P39" s="1"/>
    </x:row>
    <x:row r="40" ht="80" customHeight="1">
      <x:c r="A40" s="9" t="str">
        <x:v>ECOM</x:v>
      </x:c>
      <x:c r="B40" s="9" t="str">
        <x:v>ECOM-UAT-04-B</x:v>
      </x:c>
      <x:c r="C40" s="9" t="str">
        <x:v>ECOM-REQ-04</x:v>
      </x:c>
      <x:c r="D40" s="9" t="str">
        <x:v>Boundary / exception</x:v>
      </x:c>
      <x:c r="E40" s="9" t="str">
        <x:v>Use a disposable fixture for changed data; supplied source stays immutable. Application tests require a configured environment.</x:v>
      </x:c>
      <x:c r="F40" s="9" t="str">
        <x:v>Prepare a disposable case for this rule: A small device denominator remains visible; a device with no observations is labeled No records. Re-run the applicable SQL or execute the control in the future configured application.</x:v>
      </x:c>
      <x:c r="G40" s="9" t="str">
        <x:v>A small device denominator remains visible; a device with no observations is labeled No records.</x:v>
      </x:c>
      <x:c r="H40" s="11" t="str">
        <x:v>Not executed</x:v>
      </x:c>
      <x:c r="I40" s="11" t="str"/>
      <x:c r="J40" s="11" t="str"/>
      <x:c r="K40" s="11" t="str"/>
      <x:c r="L40" s="12" t="str"/>
      <x:c r="M40" s="11" t="str"/>
      <x:c r="N40" s="11" t="str">
        <x:v>Pending</x:v>
      </x:c>
      <x:c r="O40" s="1"/>
      <x:c r="P40" s="1"/>
    </x:row>
    <x:row r="41" ht="80" customHeight="1">
      <x:c r="A41" s="9" t="str">
        <x:v>ECOM</x:v>
      </x:c>
      <x:c r="B41" s="9" t="str">
        <x:v>ECOM-UAT-04-C</x:v>
      </x:c>
      <x:c r="C41" s="9" t="str">
        <x:v>ECOM-REQ-04</x:v>
      </x:c>
      <x:c r="D41" s="9" t="str">
        <x:v>Business review</x:v>
      </x:c>
      <x:c r="E41" s="9" t="str">
        <x:v>Use a disposable fixture for changed data; supplied source stays immutable. Application tests require a configured environment.</x:v>
      </x:c>
      <x:c r="F41" s="9" t="str">
        <x:v>Ask the Checkout Product Manager to review the labels, scope, evidence, and recommendation against ECOM-REQ-04.</x:v>
      </x:c>
      <x:c r="G41" s="9" t="str">
        <x:v>Owner records Approved / Rejected / Needs clarification with a reason and supporting evidence.</x:v>
      </x:c>
      <x:c r="H41" s="11" t="str">
        <x:v>Not executed</x:v>
      </x:c>
      <x:c r="I41" s="11" t="str"/>
      <x:c r="J41" s="11" t="str"/>
      <x:c r="K41" s="11" t="str"/>
      <x:c r="L41" s="12" t="str"/>
      <x:c r="M41" s="11" t="str"/>
      <x:c r="N41" s="11" t="str">
        <x:v>Pending</x:v>
      </x:c>
      <x:c r="O41" s="1"/>
      <x:c r="P41" s="1"/>
    </x:row>
    <x:row r="42" ht="80" customHeight="1">
      <x:c r="A42" s="9" t="str">
        <x:v>ECOM</x:v>
      </x:c>
      <x:c r="B42" s="9" t="str">
        <x:v>ECOM-UAT-05-A</x:v>
      </x:c>
      <x:c r="C42" s="9" t="str">
        <x:v>ECOM-REQ-05</x:v>
      </x:c>
      <x:c r="D42" s="9" t="str">
        <x:v>Acceptance</x:v>
      </x:c>
      <x:c r="E42" s="9" t="str">
        <x:v>Use a disposable fixture for changed data; supplied source stays immutable. Application tests require a configured environment.</x:v>
      </x:c>
      <x:c r="F42" s="9" t="str">
        <x:v>Review requirement ECOM-REQ-05; load the unchanged supplied source; inspect Q03 result and independently recompute its control totals.</x:v>
      </x:c>
      <x:c r="G42" s="9" t="str">
        <x:v>Channel revenue sums to total; low sample counts are visible.</x:v>
      </x:c>
      <x:c r="H42" s="11" t="str">
        <x:v>Not executed</x:v>
      </x:c>
      <x:c r="I42" s="11" t="str"/>
      <x:c r="J42" s="11" t="str"/>
      <x:c r="K42" s="11" t="str"/>
      <x:c r="L42" s="12" t="str"/>
      <x:c r="M42" s="11" t="str"/>
      <x:c r="N42" s="11" t="str">
        <x:v>Pending</x:v>
      </x:c>
      <x:c r="O42" s="1"/>
      <x:c r="P42" s="1"/>
    </x:row>
    <x:row r="43" ht="80" customHeight="1">
      <x:c r="A43" s="9" t="str">
        <x:v>ECOM</x:v>
      </x:c>
      <x:c r="B43" s="9" t="str">
        <x:v>ECOM-UAT-05-B</x:v>
      </x:c>
      <x:c r="C43" s="9" t="str">
        <x:v>ECOM-REQ-05</x:v>
      </x:c>
      <x:c r="D43" s="9" t="str">
        <x:v>Boundary / exception</x:v>
      </x:c>
      <x:c r="E43" s="9" t="str">
        <x:v>Use a disposable fixture for changed data; supplied source stays immutable. Application tests require a configured environment.</x:v>
      </x:c>
      <x:c r="F43" s="9" t="str">
        <x:v>Prepare a disposable case for this rule: Profit uses the supplied definition; do not assume shipping, returns, or overhead are reconciled. Re-run the applicable SQL or execute the control in the future configured application.</x:v>
      </x:c>
      <x:c r="G43" s="9" t="str">
        <x:v>Profit uses the supplied definition; do not assume shipping, returns, or overhead are reconciled.</x:v>
      </x:c>
      <x:c r="H43" s="11" t="str">
        <x:v>Not executed</x:v>
      </x:c>
      <x:c r="I43" s="11" t="str"/>
      <x:c r="J43" s="11" t="str"/>
      <x:c r="K43" s="11" t="str"/>
      <x:c r="L43" s="12" t="str"/>
      <x:c r="M43" s="11" t="str"/>
      <x:c r="N43" s="11" t="str">
        <x:v>Pending</x:v>
      </x:c>
      <x:c r="O43" s="1"/>
      <x:c r="P43" s="1"/>
    </x:row>
    <x:row r="44" ht="80" customHeight="1">
      <x:c r="A44" s="9" t="str">
        <x:v>ECOM</x:v>
      </x:c>
      <x:c r="B44" s="9" t="str">
        <x:v>ECOM-UAT-05-C</x:v>
      </x:c>
      <x:c r="C44" s="9" t="str">
        <x:v>ECOM-REQ-05</x:v>
      </x:c>
      <x:c r="D44" s="9" t="str">
        <x:v>Business review</x:v>
      </x:c>
      <x:c r="E44" s="9" t="str">
        <x:v>Use a disposable fixture for changed data; supplied source stays immutable. Application tests require a configured environment.</x:v>
      </x:c>
      <x:c r="F44" s="9" t="str">
        <x:v>Ask the Checkout Product Manager to review the labels, scope, evidence, and recommendation against ECOM-REQ-05.</x:v>
      </x:c>
      <x:c r="G44" s="9" t="str">
        <x:v>Owner records Approved / Rejected / Needs clarification with a reason and supporting evidence.</x:v>
      </x:c>
      <x:c r="H44" s="11" t="str">
        <x:v>Not executed</x:v>
      </x:c>
      <x:c r="I44" s="11" t="str"/>
      <x:c r="J44" s="11" t="str"/>
      <x:c r="K44" s="11" t="str"/>
      <x:c r="L44" s="12" t="str"/>
      <x:c r="M44" s="11" t="str"/>
      <x:c r="N44" s="11" t="str">
        <x:v>Pending</x:v>
      </x:c>
      <x:c r="O44" s="1"/>
      <x:c r="P44" s="1"/>
    </x:row>
    <x:row r="45" ht="80" customHeight="1">
      <x:c r="A45" s="9" t="str">
        <x:v>ECOM</x:v>
      </x:c>
      <x:c r="B45" s="9" t="str">
        <x:v>ECOM-UAT-06-A</x:v>
      </x:c>
      <x:c r="C45" s="9" t="str">
        <x:v>ECOM-REQ-06</x:v>
      </x:c>
      <x:c r="D45" s="9" t="str">
        <x:v>Acceptance</x:v>
      </x:c>
      <x:c r="E45" s="9" t="str">
        <x:v>Use a disposable fixture for changed data; supplied source stays immutable. Application tests require a configured environment.</x:v>
      </x:c>
      <x:c r="F45" s="9" t="str">
        <x:v>Review requirement ECOM-REQ-06; load the unchanged supplied source; inspect Q04 result and independently recompute its control totals.</x:v>
      </x:c>
      <x:c r="G45" s="9" t="str">
        <x:v>The first month has null prior-month change and no missing month is silently treated as zero.</x:v>
      </x:c>
      <x:c r="H45" s="11" t="str">
        <x:v>Not executed</x:v>
      </x:c>
      <x:c r="I45" s="11" t="str"/>
      <x:c r="J45" s="11" t="str"/>
      <x:c r="K45" s="11" t="str"/>
      <x:c r="L45" s="12" t="str"/>
      <x:c r="M45" s="11" t="str"/>
      <x:c r="N45" s="11" t="str">
        <x:v>Pending</x:v>
      </x:c>
      <x:c r="O45" s="1"/>
      <x:c r="P45" s="1"/>
    </x:row>
    <x:row r="46" ht="80" customHeight="1">
      <x:c r="A46" s="9" t="str">
        <x:v>ECOM</x:v>
      </x:c>
      <x:c r="B46" s="9" t="str">
        <x:v>ECOM-UAT-06-B</x:v>
      </x:c>
      <x:c r="C46" s="9" t="str">
        <x:v>ECOM-REQ-06</x:v>
      </x:c>
      <x:c r="D46" s="9" t="str">
        <x:v>Boundary / exception</x:v>
      </x:c>
      <x:c r="E46" s="9" t="str">
        <x:v>Use a disposable fixture for changed data; supplied source stays immutable. Application tests require a configured environment.</x:v>
      </x:c>
      <x:c r="F46" s="9" t="str">
        <x:v>Prepare a disposable case for this rule: Missing months must be shown in the proposed calendar; no fabricated zeros or prior-year comparisons. Re-run the applicable SQL or execute the control in the future configured application.</x:v>
      </x:c>
      <x:c r="G46" s="9" t="str">
        <x:v>Missing months must be shown in the proposed calendar; no fabricated zeros or prior-year comparisons.</x:v>
      </x:c>
      <x:c r="H46" s="11" t="str">
        <x:v>Not executed</x:v>
      </x:c>
      <x:c r="I46" s="11" t="str"/>
      <x:c r="J46" s="11" t="str"/>
      <x:c r="K46" s="11" t="str"/>
      <x:c r="L46" s="12" t="str"/>
      <x:c r="M46" s="11" t="str"/>
      <x:c r="N46" s="11" t="str">
        <x:v>Pending</x:v>
      </x:c>
      <x:c r="O46" s="1"/>
      <x:c r="P46" s="1"/>
    </x:row>
    <x:row r="47" ht="80" customHeight="1">
      <x:c r="A47" s="9" t="str">
        <x:v>ECOM</x:v>
      </x:c>
      <x:c r="B47" s="9" t="str">
        <x:v>ECOM-UAT-06-C</x:v>
      </x:c>
      <x:c r="C47" s="9" t="str">
        <x:v>ECOM-REQ-06</x:v>
      </x:c>
      <x:c r="D47" s="9" t="str">
        <x:v>Business review</x:v>
      </x:c>
      <x:c r="E47" s="9" t="str">
        <x:v>Use a disposable fixture for changed data; supplied source stays immutable. Application tests require a configured environment.</x:v>
      </x:c>
      <x:c r="F47" s="9" t="str">
        <x:v>Ask the Checkout Product Manager to review the labels, scope, evidence, and recommendation against ECOM-REQ-06.</x:v>
      </x:c>
      <x:c r="G47" s="9" t="str">
        <x:v>Owner records Approved / Rejected / Needs clarification with a reason and supporting evidence.</x:v>
      </x:c>
      <x:c r="H47" s="11" t="str">
        <x:v>Not executed</x:v>
      </x:c>
      <x:c r="I47" s="11" t="str"/>
      <x:c r="J47" s="11" t="str"/>
      <x:c r="K47" s="11" t="str"/>
      <x:c r="L47" s="12" t="str"/>
      <x:c r="M47" s="11" t="str"/>
      <x:c r="N47" s="11" t="str">
        <x:v>Pending</x:v>
      </x:c>
      <x:c r="O47" s="1"/>
      <x:c r="P47" s="1"/>
    </x:row>
    <x:row r="48" ht="80" customHeight="1">
      <x:c r="A48" s="9" t="str">
        <x:v>ECOM</x:v>
      </x:c>
      <x:c r="B48" s="9" t="str">
        <x:v>ECOM-UAT-07-A</x:v>
      </x:c>
      <x:c r="C48" s="9" t="str">
        <x:v>ECOM-REQ-07</x:v>
      </x:c>
      <x:c r="D48" s="9" t="str">
        <x:v>Acceptance</x:v>
      </x:c>
      <x:c r="E48" s="9" t="str">
        <x:v>Use a disposable fixture for changed data; supplied source stays immutable. Application tests require a configured environment.</x:v>
      </x:c>
      <x:c r="F48" s="9" t="str">
        <x:v>Review requirement ECOM-REQ-07; load the unchanged supplied source; inspect the proposed control and execute it in a future configured application.</x:v>
      </x:c>
      <x:c r="G48" s="9" t="str">
        <x:v>No claim of experiment success is made without assignment/exposure events; launch remains pending.</x:v>
      </x:c>
      <x:c r="H48" s="11" t="str">
        <x:v>Not executed</x:v>
      </x:c>
      <x:c r="I48" s="11" t="str"/>
      <x:c r="J48" s="11" t="str"/>
      <x:c r="K48" s="11" t="str"/>
      <x:c r="L48" s="12" t="str"/>
      <x:c r="M48" s="11" t="str"/>
      <x:c r="N48" s="11" t="str">
        <x:v>Pending</x:v>
      </x:c>
      <x:c r="O48" s="1"/>
      <x:c r="P48" s="1"/>
    </x:row>
    <x:row r="49" ht="80" customHeight="1">
      <x:c r="A49" s="9" t="str">
        <x:v>ECOM</x:v>
      </x:c>
      <x:c r="B49" s="9" t="str">
        <x:v>ECOM-UAT-07-B</x:v>
      </x:c>
      <x:c r="C49" s="9" t="str">
        <x:v>ECOM-REQ-07</x:v>
      </x:c>
      <x:c r="D49" s="9" t="str">
        <x:v>Boundary / exception</x:v>
      </x:c>
      <x:c r="E49" s="9" t="str">
        <x:v>Use a disposable fixture for changed data; supplied source stays immutable. Application tests require a configured environment.</x:v>
      </x:c>
      <x:c r="F49" s="9" t="str">
        <x:v>Prepare a disposable case for this rule: Exposure and assignment must exist before any A/B effect can be estimated. Re-run the applicable SQL or execute the control in the future configured application.</x:v>
      </x:c>
      <x:c r="G49" s="9" t="str">
        <x:v>Exposure and assignment must exist before any A/B effect can be estimated.</x:v>
      </x:c>
      <x:c r="H49" s="11" t="str">
        <x:v>Not executed</x:v>
      </x:c>
      <x:c r="I49" s="11" t="str"/>
      <x:c r="J49" s="11" t="str"/>
      <x:c r="K49" s="11" t="str"/>
      <x:c r="L49" s="12" t="str"/>
      <x:c r="M49" s="11" t="str"/>
      <x:c r="N49" s="11" t="str">
        <x:v>Pending</x:v>
      </x:c>
      <x:c r="O49" s="1"/>
      <x:c r="P49" s="1"/>
    </x:row>
    <x:row r="50" ht="80" customHeight="1">
      <x:c r="A50" s="9" t="str">
        <x:v>ECOM</x:v>
      </x:c>
      <x:c r="B50" s="9" t="str">
        <x:v>ECOM-UAT-07-C</x:v>
      </x:c>
      <x:c r="C50" s="9" t="str">
        <x:v>ECOM-REQ-07</x:v>
      </x:c>
      <x:c r="D50" s="9" t="str">
        <x:v>Business review</x:v>
      </x:c>
      <x:c r="E50" s="9" t="str">
        <x:v>Use a disposable fixture for changed data; supplied source stays immutable. Application tests require a configured environment.</x:v>
      </x:c>
      <x:c r="F50" s="9" t="str">
        <x:v>Ask the Checkout Product Manager to review the labels, scope, evidence, and recommendation against ECOM-REQ-07.</x:v>
      </x:c>
      <x:c r="G50" s="9" t="str">
        <x:v>Owner records Approved / Rejected / Needs clarification with a reason and supporting evidence.</x:v>
      </x:c>
      <x:c r="H50" s="11" t="str">
        <x:v>Not executed</x:v>
      </x:c>
      <x:c r="I50" s="11" t="str"/>
      <x:c r="J50" s="11" t="str"/>
      <x:c r="K50" s="11" t="str"/>
      <x:c r="L50" s="12" t="str"/>
      <x:c r="M50" s="11" t="str"/>
      <x:c r="N50" s="11" t="str">
        <x:v>Pending</x:v>
      </x:c>
      <x:c r="O50" s="1"/>
      <x:c r="P50" s="1"/>
    </x:row>
    <x:row r="51" ht="80" customHeight="1">
      <x:c r="A51" s="9" t="str">
        <x:v>ECOM</x:v>
      </x:c>
      <x:c r="B51" s="9" t="str">
        <x:v>ECOM-UAT-08-A</x:v>
      </x:c>
      <x:c r="C51" s="9" t="str">
        <x:v>ECOM-REQ-08</x:v>
      </x:c>
      <x:c r="D51" s="9" t="str">
        <x:v>Acceptance</x:v>
      </x:c>
      <x:c r="E51" s="9" t="str">
        <x:v>Use a disposable fixture for changed data; supplied source stays immutable. Application tests require a configured environment.</x:v>
      </x:c>
      <x:c r="F51" s="9" t="str">
        <x:v>Review requirement ECOM-REQ-08; load the unchanged supplied source; inspect the proposed control and execute it in a future configured application.</x:v>
      </x:c>
      <x:c r="G51" s="9" t="str">
        <x:v>Future design excludes raw contact data from analyst exports and requires a privacy review.</x:v>
      </x:c>
      <x:c r="H51" s="11" t="str">
        <x:v>Not executed</x:v>
      </x:c>
      <x:c r="I51" s="11" t="str"/>
      <x:c r="J51" s="11" t="str"/>
      <x:c r="K51" s="11" t="str"/>
      <x:c r="L51" s="12" t="str"/>
      <x:c r="M51" s="11" t="str"/>
      <x:c r="N51" s="11" t="str">
        <x:v>Pending</x:v>
      </x:c>
      <x:c r="O51" s="1"/>
      <x:c r="P51" s="1"/>
    </x:row>
    <x:row r="52" ht="80" customHeight="1">
      <x:c r="A52" s="9" t="str">
        <x:v>ECOM</x:v>
      </x:c>
      <x:c r="B52" s="9" t="str">
        <x:v>ECOM-UAT-08-B</x:v>
      </x:c>
      <x:c r="C52" s="9" t="str">
        <x:v>ECOM-REQ-08</x:v>
      </x:c>
      <x:c r="D52" s="9" t="str">
        <x:v>Boundary / exception</x:v>
      </x:c>
      <x:c r="E52" s="9" t="str">
        <x:v>Use a disposable fixture for changed data; supplied source stays immutable. Application tests require a configured environment.</x:v>
      </x:c>
      <x:c r="F52" s="9" t="str">
        <x:v>Prepare a disposable case for this rule: Future analyst exports must exclude direct identifiers and respect approved retention. Re-run the applicable SQL or execute the control in the future configured application.</x:v>
      </x:c>
      <x:c r="G52" s="9" t="str">
        <x:v>Future analyst exports must exclude direct identifiers and respect approved retention.</x:v>
      </x:c>
      <x:c r="H52" s="11" t="str">
        <x:v>Not executed</x:v>
      </x:c>
      <x:c r="I52" s="11" t="str"/>
      <x:c r="J52" s="11" t="str"/>
      <x:c r="K52" s="11" t="str"/>
      <x:c r="L52" s="12" t="str"/>
      <x:c r="M52" s="11" t="str"/>
      <x:c r="N52" s="11" t="str">
        <x:v>Pending</x:v>
      </x:c>
      <x:c r="O52" s="1"/>
      <x:c r="P52" s="1"/>
    </x:row>
    <x:row r="53" ht="80" customHeight="1">
      <x:c r="A53" s="9" t="str">
        <x:v>ECOM</x:v>
      </x:c>
      <x:c r="B53" s="9" t="str">
        <x:v>ECOM-UAT-08-C</x:v>
      </x:c>
      <x:c r="C53" s="9" t="str">
        <x:v>ECOM-REQ-08</x:v>
      </x:c>
      <x:c r="D53" s="9" t="str">
        <x:v>Business review</x:v>
      </x:c>
      <x:c r="E53" s="9" t="str">
        <x:v>Use a disposable fixture for changed data; supplied source stays immutable. Application tests require a configured environment.</x:v>
      </x:c>
      <x:c r="F53" s="9" t="str">
        <x:v>Ask the Checkout Product Manager to review the labels, scope, evidence, and recommendation against ECOM-REQ-08.</x:v>
      </x:c>
      <x:c r="G53" s="9" t="str">
        <x:v>Owner records Approved / Rejected / Needs clarification with a reason and supporting evidence.</x:v>
      </x:c>
      <x:c r="H53" s="11" t="str">
        <x:v>Not executed</x:v>
      </x:c>
      <x:c r="I53" s="11" t="str"/>
      <x:c r="J53" s="11" t="str"/>
      <x:c r="K53" s="11" t="str"/>
      <x:c r="L53" s="12" t="str"/>
      <x:c r="M53" s="11" t="str"/>
      <x:c r="N53" s="11" t="str">
        <x:v>Pending</x:v>
      </x:c>
      <x:c r="O53" s="1"/>
      <x:c r="P53" s="1"/>
    </x:row>
    <x:row r="54" ht="80" customHeight="1">
      <x:c r="A54" s="9" t="str">
        <x:v>FIN</x:v>
      </x:c>
      <x:c r="B54" s="9" t="str">
        <x:v>FIN-UAT-01-A</x:v>
      </x:c>
      <x:c r="C54" s="9" t="str">
        <x:v>FIN-REQ-01</x:v>
      </x:c>
      <x:c r="D54" s="9" t="str">
        <x:v>Acceptance</x:v>
      </x:c>
      <x:c r="E54" s="9" t="str">
        <x:v>Use a disposable fixture for changed data; supplied source stays immutable. Application tests require a configured environment.</x:v>
      </x:c>
      <x:c r="F54" s="9" t="str">
        <x:v>Review requirement FIN-REQ-01; load the unchanged supplied source; inspect Q01 result and independently recompute its control totals.</x:v>
      </x:c>
      <x:c r="G54" s="9" t="str">
        <x:v>All accepted rows have allowed scenario/category values and traceable source_row.</x:v>
      </x:c>
      <x:c r="H54" s="11" t="str">
        <x:v>Not executed</x:v>
      </x:c>
      <x:c r="I54" s="11" t="str"/>
      <x:c r="J54" s="11" t="str"/>
      <x:c r="K54" s="11" t="str"/>
      <x:c r="L54" s="12" t="str"/>
      <x:c r="M54" s="11" t="str"/>
      <x:c r="N54" s="11" t="str">
        <x:v>Pending</x:v>
      </x:c>
      <x:c r="O54" s="1"/>
      <x:c r="P54" s="1"/>
    </x:row>
    <x:row r="55" ht="80" customHeight="1">
      <x:c r="A55" s="9" t="str">
        <x:v>FIN</x:v>
      </x:c>
      <x:c r="B55" s="9" t="str">
        <x:v>FIN-UAT-01-B</x:v>
      </x:c>
      <x:c r="C55" s="9" t="str">
        <x:v>FIN-REQ-01</x:v>
      </x:c>
      <x:c r="D55" s="9" t="str">
        <x:v>Boundary / exception</x:v>
      </x:c>
      <x:c r="E55" s="9" t="str">
        <x:v>Use a disposable fixture for changed data; supplied source stays immutable. Application tests require a configured environment.</x:v>
      </x:c>
      <x:c r="F55" s="9" t="str">
        <x:v>Prepare a disposable case for this rule: Unknown account categories or scenarios require mapping review; no fallback to Revenue. Re-run the applicable SQL or execute the control in the future configured application.</x:v>
      </x:c>
      <x:c r="G55" s="9" t="str">
        <x:v>Unknown account categories or scenarios require mapping review; no fallback to Revenue.</x:v>
      </x:c>
      <x:c r="H55" s="11" t="str">
        <x:v>Not executed</x:v>
      </x:c>
      <x:c r="I55" s="11" t="str"/>
      <x:c r="J55" s="11" t="str"/>
      <x:c r="K55" s="11" t="str"/>
      <x:c r="L55" s="12" t="str"/>
      <x:c r="M55" s="11" t="str"/>
      <x:c r="N55" s="11" t="str">
        <x:v>Pending</x:v>
      </x:c>
      <x:c r="O55" s="1"/>
      <x:c r="P55" s="1"/>
    </x:row>
    <x:row r="56" ht="80" customHeight="1">
      <x:c r="A56" s="9" t="str">
        <x:v>FIN</x:v>
      </x:c>
      <x:c r="B56" s="9" t="str">
        <x:v>FIN-UAT-01-C</x:v>
      </x:c>
      <x:c r="C56" s="9" t="str">
        <x:v>FIN-REQ-01</x:v>
      </x:c>
      <x:c r="D56" s="9" t="str">
        <x:v>Business review</x:v>
      </x:c>
      <x:c r="E56" s="9" t="str">
        <x:v>Use a disposable fixture for changed data; supplied source stays immutable. Application tests require a configured environment.</x:v>
      </x:c>
      <x:c r="F56" s="9" t="str">
        <x:v>Ask the FP&amp;A Manager to review the labels, scope, evidence, and recommendation against FIN-REQ-01.</x:v>
      </x:c>
      <x:c r="G56" s="9" t="str">
        <x:v>Owner records Approved / Rejected / Needs clarification with a reason and supporting evidence.</x:v>
      </x:c>
      <x:c r="H56" s="11" t="str">
        <x:v>Not executed</x:v>
      </x:c>
      <x:c r="I56" s="11" t="str"/>
      <x:c r="J56" s="11" t="str"/>
      <x:c r="K56" s="11" t="str"/>
      <x:c r="L56" s="12" t="str"/>
      <x:c r="M56" s="11" t="str"/>
      <x:c r="N56" s="11" t="str">
        <x:v>Pending</x:v>
      </x:c>
      <x:c r="O56" s="1"/>
      <x:c r="P56" s="1"/>
    </x:row>
    <x:row r="57" ht="80" customHeight="1">
      <x:c r="A57" s="9" t="str">
        <x:v>FIN</x:v>
      </x:c>
      <x:c r="B57" s="9" t="str">
        <x:v>FIN-UAT-02-A</x:v>
      </x:c>
      <x:c r="C57" s="9" t="str">
        <x:v>FIN-REQ-02</x:v>
      </x:c>
      <x:c r="D57" s="9" t="str">
        <x:v>Acceptance</x:v>
      </x:c>
      <x:c r="E57" s="9" t="str">
        <x:v>Use a disposable fixture for changed data; supplied source stays immutable. Application tests require a configured environment.</x:v>
      </x:c>
      <x:c r="F57" s="9" t="str">
        <x:v>Review requirement FIN-REQ-02; load the unchanged supplied source; inspect Q02 result and independently recompute its control totals.</x:v>
      </x:c>
      <x:c r="G57" s="9" t="str">
        <x:v>Actual and budget reconcile separately; zero budget returns null rate.</x:v>
      </x:c>
      <x:c r="H57" s="11" t="str">
        <x:v>Not executed</x:v>
      </x:c>
      <x:c r="I57" s="11" t="str"/>
      <x:c r="J57" s="11" t="str"/>
      <x:c r="K57" s="11" t="str"/>
      <x:c r="L57" s="12" t="str"/>
      <x:c r="M57" s="11" t="str"/>
      <x:c r="N57" s="11" t="str">
        <x:v>Pending</x:v>
      </x:c>
      <x:c r="O57" s="1"/>
      <x:c r="P57" s="1"/>
    </x:row>
    <x:row r="58" ht="80" customHeight="1">
      <x:c r="A58" s="9" t="str">
        <x:v>FIN</x:v>
      </x:c>
      <x:c r="B58" s="9" t="str">
        <x:v>FIN-UAT-02-B</x:v>
      </x:c>
      <x:c r="C58" s="9" t="str">
        <x:v>FIN-REQ-02</x:v>
      </x:c>
      <x:c r="D58" s="9" t="str">
        <x:v>Boundary / exception</x:v>
      </x:c>
      <x:c r="E58" s="9" t="str">
        <x:v>Use a disposable fixture for changed data; supplied source stays immutable. Application tests require a configured environment.</x:v>
      </x:c>
      <x:c r="F58" s="9" t="str">
        <x:v>Prepare a disposable case for this rule: Zero budget produces undefined percentage variance; absent budget is an exception rather than a zero budget. Re-run the applicable SQL or execute the control in the future configured application.</x:v>
      </x:c>
      <x:c r="G58" s="9" t="str">
        <x:v>Zero budget produces undefined percentage variance; absent budget is an exception rather than a zero budget.</x:v>
      </x:c>
      <x:c r="H58" s="11" t="str">
        <x:v>Not executed</x:v>
      </x:c>
      <x:c r="I58" s="11" t="str"/>
      <x:c r="J58" s="11" t="str"/>
      <x:c r="K58" s="11" t="str"/>
      <x:c r="L58" s="12" t="str"/>
      <x:c r="M58" s="11" t="str"/>
      <x:c r="N58" s="11" t="str">
        <x:v>Pending</x:v>
      </x:c>
      <x:c r="O58" s="1"/>
      <x:c r="P58" s="1"/>
    </x:row>
    <x:row r="59" ht="80" customHeight="1">
      <x:c r="A59" s="9" t="str">
        <x:v>FIN</x:v>
      </x:c>
      <x:c r="B59" s="9" t="str">
        <x:v>FIN-UAT-02-C</x:v>
      </x:c>
      <x:c r="C59" s="9" t="str">
        <x:v>FIN-REQ-02</x:v>
      </x:c>
      <x:c r="D59" s="9" t="str">
        <x:v>Business review</x:v>
      </x:c>
      <x:c r="E59" s="9" t="str">
        <x:v>Use a disposable fixture for changed data; supplied source stays immutable. Application tests require a configured environment.</x:v>
      </x:c>
      <x:c r="F59" s="9" t="str">
        <x:v>Ask the FP&amp;A Manager to review the labels, scope, evidence, and recommendation against FIN-REQ-02.</x:v>
      </x:c>
      <x:c r="G59" s="9" t="str">
        <x:v>Owner records Approved / Rejected / Needs clarification with a reason and supporting evidence.</x:v>
      </x:c>
      <x:c r="H59" s="11" t="str">
        <x:v>Not executed</x:v>
      </x:c>
      <x:c r="I59" s="11" t="str"/>
      <x:c r="J59" s="11" t="str"/>
      <x:c r="K59" s="11" t="str"/>
      <x:c r="L59" s="12" t="str"/>
      <x:c r="M59" s="11" t="str"/>
      <x:c r="N59" s="11" t="str">
        <x:v>Pending</x:v>
      </x:c>
      <x:c r="O59" s="1"/>
      <x:c r="P59" s="1"/>
    </x:row>
    <x:row r="60" ht="80" customHeight="1">
      <x:c r="A60" s="9" t="str">
        <x:v>FIN</x:v>
      </x:c>
      <x:c r="B60" s="9" t="str">
        <x:v>FIN-UAT-03-A</x:v>
      </x:c>
      <x:c r="C60" s="9" t="str">
        <x:v>FIN-REQ-03</x:v>
      </x:c>
      <x:c r="D60" s="9" t="str">
        <x:v>Acceptance</x:v>
      </x:c>
      <x:c r="E60" s="9" t="str">
        <x:v>Use a disposable fixture for changed data; supplied source stays immutable. Application tests require a configured environment.</x:v>
      </x:c>
      <x:c r="F60" s="9" t="str">
        <x:v>Review requirement FIN-REQ-03; load the unchanged supplied source; inspect Q02 result and independently recompute its control totals.</x:v>
      </x:c>
      <x:c r="G60" s="9" t="str">
        <x:v>A fixed fixture produces the expected operating income and weighted gross margin.</x:v>
      </x:c>
      <x:c r="H60" s="11" t="str">
        <x:v>Not executed</x:v>
      </x:c>
      <x:c r="I60" s="11" t="str"/>
      <x:c r="J60" s="11" t="str"/>
      <x:c r="K60" s="11" t="str"/>
      <x:c r="L60" s="12" t="str"/>
      <x:c r="M60" s="11" t="str"/>
      <x:c r="N60" s="11" t="str">
        <x:v>Pending</x:v>
      </x:c>
      <x:c r="O60" s="1"/>
      <x:c r="P60" s="1"/>
    </x:row>
    <x:row r="61" ht="80" customHeight="1">
      <x:c r="A61" s="9" t="str">
        <x:v>FIN</x:v>
      </x:c>
      <x:c r="B61" s="9" t="str">
        <x:v>FIN-UAT-03-B</x:v>
      </x:c>
      <x:c r="C61" s="9" t="str">
        <x:v>FIN-REQ-03</x:v>
      </x:c>
      <x:c r="D61" s="9" t="str">
        <x:v>Boundary / exception</x:v>
      </x:c>
      <x:c r="E61" s="9" t="str">
        <x:v>Use a disposable fixture for changed data; supplied source stays immutable. Application tests require a configured environment.</x:v>
      </x:c>
      <x:c r="F61" s="9" t="str">
        <x:v>Prepare a disposable case for this rule: Subtract positive costs; do not mix summary-derived operating income with fact-derived totals. Re-run the applicable SQL or execute the control in the future configured application.</x:v>
      </x:c>
      <x:c r="G61" s="9" t="str">
        <x:v>Subtract positive costs; do not mix summary-derived operating income with fact-derived totals.</x:v>
      </x:c>
      <x:c r="H61" s="11" t="str">
        <x:v>Not executed</x:v>
      </x:c>
      <x:c r="I61" s="11" t="str"/>
      <x:c r="J61" s="11" t="str"/>
      <x:c r="K61" s="11" t="str"/>
      <x:c r="L61" s="12" t="str"/>
      <x:c r="M61" s="11" t="str"/>
      <x:c r="N61" s="11" t="str">
        <x:v>Pending</x:v>
      </x:c>
      <x:c r="O61" s="1"/>
      <x:c r="P61" s="1"/>
    </x:row>
    <x:row r="62" ht="80" customHeight="1">
      <x:c r="A62" s="9" t="str">
        <x:v>FIN</x:v>
      </x:c>
      <x:c r="B62" s="9" t="str">
        <x:v>FIN-UAT-03-C</x:v>
      </x:c>
      <x:c r="C62" s="9" t="str">
        <x:v>FIN-REQ-03</x:v>
      </x:c>
      <x:c r="D62" s="9" t="str">
        <x:v>Business review</x:v>
      </x:c>
      <x:c r="E62" s="9" t="str">
        <x:v>Use a disposable fixture for changed data; supplied source stays immutable. Application tests require a configured environment.</x:v>
      </x:c>
      <x:c r="F62" s="9" t="str">
        <x:v>Ask the FP&amp;A Manager to review the labels, scope, evidence, and recommendation against FIN-REQ-03.</x:v>
      </x:c>
      <x:c r="G62" s="9" t="str">
        <x:v>Owner records Approved / Rejected / Needs clarification with a reason and supporting evidence.</x:v>
      </x:c>
      <x:c r="H62" s="11" t="str">
        <x:v>Not executed</x:v>
      </x:c>
      <x:c r="I62" s="11" t="str"/>
      <x:c r="J62" s="11" t="str"/>
      <x:c r="K62" s="11" t="str"/>
      <x:c r="L62" s="12" t="str"/>
      <x:c r="M62" s="11" t="str"/>
      <x:c r="N62" s="11" t="str">
        <x:v>Pending</x:v>
      </x:c>
      <x:c r="O62" s="1"/>
      <x:c r="P62" s="1"/>
    </x:row>
    <x:row r="63" ht="80" customHeight="1">
      <x:c r="A63" s="9" t="str">
        <x:v>FIN</x:v>
      </x:c>
      <x:c r="B63" s="9" t="str">
        <x:v>FIN-UAT-04-A</x:v>
      </x:c>
      <x:c r="C63" s="9" t="str">
        <x:v>FIN-REQ-04</x:v>
      </x:c>
      <x:c r="D63" s="9" t="str">
        <x:v>Acceptance</x:v>
      </x:c>
      <x:c r="E63" s="9" t="str">
        <x:v>Use a disposable fixture for changed data; supplied source stays immutable. Application tests require a configured environment.</x:v>
      </x:c>
      <x:c r="F63" s="9" t="str">
        <x:v>Review requirement FIN-REQ-04; load the unchanged supplied source; inspect Q03 result and independently recompute its control totals.</x:v>
      </x:c>
      <x:c r="G63" s="9" t="str">
        <x:v>Department variances sum to the overall variance; no percentage averages are used.</x:v>
      </x:c>
      <x:c r="H63" s="11" t="str">
        <x:v>Not executed</x:v>
      </x:c>
      <x:c r="I63" s="11" t="str"/>
      <x:c r="J63" s="11" t="str"/>
      <x:c r="K63" s="11" t="str"/>
      <x:c r="L63" s="12" t="str"/>
      <x:c r="M63" s="11" t="str"/>
      <x:c r="N63" s="11" t="str">
        <x:v>Pending</x:v>
      </x:c>
      <x:c r="O63" s="1"/>
      <x:c r="P63" s="1"/>
    </x:row>
    <x:row r="64" ht="80" customHeight="1">
      <x:c r="A64" s="9" t="str">
        <x:v>FIN</x:v>
      </x:c>
      <x:c r="B64" s="9" t="str">
        <x:v>FIN-UAT-04-B</x:v>
      </x:c>
      <x:c r="C64" s="9" t="str">
        <x:v>FIN-REQ-04</x:v>
      </x:c>
      <x:c r="D64" s="9" t="str">
        <x:v>Boundary / exception</x:v>
      </x:c>
      <x:c r="E64" s="9" t="str">
        <x:v>Use a disposable fixture for changed data; supplied source stays immutable. Application tests require a configured environment.</x:v>
      </x:c>
      <x:c r="F64" s="9" t="str">
        <x:v>Prepare a disposable case for this rule: Department variance totals reconcile while department variance percentages are not additive. Re-run the applicable SQL or execute the control in the future configured application.</x:v>
      </x:c>
      <x:c r="G64" s="9" t="str">
        <x:v>Department variance totals reconcile while department variance percentages are not additive.</x:v>
      </x:c>
      <x:c r="H64" s="11" t="str">
        <x:v>Not executed</x:v>
      </x:c>
      <x:c r="I64" s="11" t="str"/>
      <x:c r="J64" s="11" t="str"/>
      <x:c r="K64" s="11" t="str"/>
      <x:c r="L64" s="12" t="str"/>
      <x:c r="M64" s="11" t="str"/>
      <x:c r="N64" s="11" t="str">
        <x:v>Pending</x:v>
      </x:c>
      <x:c r="O64" s="1"/>
      <x:c r="P64" s="1"/>
    </x:row>
    <x:row r="65" ht="80" customHeight="1">
      <x:c r="A65" s="9" t="str">
        <x:v>FIN</x:v>
      </x:c>
      <x:c r="B65" s="9" t="str">
        <x:v>FIN-UAT-04-C</x:v>
      </x:c>
      <x:c r="C65" s="9" t="str">
        <x:v>FIN-REQ-04</x:v>
      </x:c>
      <x:c r="D65" s="9" t="str">
        <x:v>Business review</x:v>
      </x:c>
      <x:c r="E65" s="9" t="str">
        <x:v>Use a disposable fixture for changed data; supplied source stays immutable. Application tests require a configured environment.</x:v>
      </x:c>
      <x:c r="F65" s="9" t="str">
        <x:v>Ask the FP&amp;A Manager to review the labels, scope, evidence, and recommendation against FIN-REQ-04.</x:v>
      </x:c>
      <x:c r="G65" s="9" t="str">
        <x:v>Owner records Approved / Rejected / Needs clarification with a reason and supporting evidence.</x:v>
      </x:c>
      <x:c r="H65" s="11" t="str">
        <x:v>Not executed</x:v>
      </x:c>
      <x:c r="I65" s="11" t="str"/>
      <x:c r="J65" s="11" t="str"/>
      <x:c r="K65" s="11" t="str"/>
      <x:c r="L65" s="12" t="str"/>
      <x:c r="M65" s="11" t="str"/>
      <x:c r="N65" s="11" t="str">
        <x:v>Pending</x:v>
      </x:c>
      <x:c r="O65" s="1"/>
      <x:c r="P65" s="1"/>
    </x:row>
    <x:row r="66" ht="80" customHeight="1">
      <x:c r="A66" s="9" t="str">
        <x:v>FIN</x:v>
      </x:c>
      <x:c r="B66" s="9" t="str">
        <x:v>FIN-UAT-05-A</x:v>
      </x:c>
      <x:c r="C66" s="9" t="str">
        <x:v>FIN-REQ-05</x:v>
      </x:c>
      <x:c r="D66" s="9" t="str">
        <x:v>Acceptance</x:v>
      </x:c>
      <x:c r="E66" s="9" t="str">
        <x:v>Use a disposable fixture for changed data; supplied source stays immutable. Application tests require a configured environment.</x:v>
      </x:c>
      <x:c r="F66" s="9" t="str">
        <x:v>Review requirement FIN-REQ-05; load the unchanged supplied source; inspect Q04 result and independently recompute its control totals.</x:v>
      </x:c>
      <x:c r="G66" s="9" t="str">
        <x:v>Every difference above $0.01 is listed; unresolved differences block close approval.</x:v>
      </x:c>
      <x:c r="H66" s="11" t="str">
        <x:v>Not executed</x:v>
      </x:c>
      <x:c r="I66" s="11" t="str"/>
      <x:c r="J66" s="11" t="str"/>
      <x:c r="K66" s="11" t="str"/>
      <x:c r="L66" s="12" t="str"/>
      <x:c r="M66" s="11" t="str"/>
      <x:c r="N66" s="11" t="str">
        <x:v>Pending</x:v>
      </x:c>
      <x:c r="O66" s="1"/>
      <x:c r="P66" s="1"/>
    </x:row>
    <x:row r="67" ht="80" customHeight="1">
      <x:c r="A67" s="9" t="str">
        <x:v>FIN</x:v>
      </x:c>
      <x:c r="B67" s="9" t="str">
        <x:v>FIN-UAT-05-B</x:v>
      </x:c>
      <x:c r="C67" s="9" t="str">
        <x:v>FIN-REQ-05</x:v>
      </x:c>
      <x:c r="D67" s="9" t="str">
        <x:v>Boundary / exception</x:v>
      </x:c>
      <x:c r="E67" s="9" t="str">
        <x:v>Use a disposable fixture for changed data; supplied source stays immutable. Application tests require a configured environment.</x:v>
      </x:c>
      <x:c r="F67" s="9" t="str">
        <x:v>Prepare a disposable case for this rule: Missing source and nonzero discrepancies remain unresolved; do not average or overwrite either extract. Re-run the applicable SQL or execute the control in the future configured application.</x:v>
      </x:c>
      <x:c r="G67" s="9" t="str">
        <x:v>Missing source and nonzero discrepancies remain unresolved; do not average or overwrite either extract.</x:v>
      </x:c>
      <x:c r="H67" s="11" t="str">
        <x:v>Not executed</x:v>
      </x:c>
      <x:c r="I67" s="11" t="str"/>
      <x:c r="J67" s="11" t="str"/>
      <x:c r="K67" s="11" t="str"/>
      <x:c r="L67" s="12" t="str"/>
      <x:c r="M67" s="11" t="str"/>
      <x:c r="N67" s="11" t="str">
        <x:v>Pending</x:v>
      </x:c>
      <x:c r="O67" s="1"/>
      <x:c r="P67" s="1"/>
    </x:row>
    <x:row r="68" ht="80" customHeight="1">
      <x:c r="A68" s="9" t="str">
        <x:v>FIN</x:v>
      </x:c>
      <x:c r="B68" s="9" t="str">
        <x:v>FIN-UAT-05-C</x:v>
      </x:c>
      <x:c r="C68" s="9" t="str">
        <x:v>FIN-REQ-05</x:v>
      </x:c>
      <x:c r="D68" s="9" t="str">
        <x:v>Business review</x:v>
      </x:c>
      <x:c r="E68" s="9" t="str">
        <x:v>Use a disposable fixture for changed data; supplied source stays immutable. Application tests require a configured environment.</x:v>
      </x:c>
      <x:c r="F68" s="9" t="str">
        <x:v>Ask the FP&amp;A Manager to review the labels, scope, evidence, and recommendation against FIN-REQ-05.</x:v>
      </x:c>
      <x:c r="G68" s="9" t="str">
        <x:v>Owner records Approved / Rejected / Needs clarification with a reason and supporting evidence.</x:v>
      </x:c>
      <x:c r="H68" s="11" t="str">
        <x:v>Not executed</x:v>
      </x:c>
      <x:c r="I68" s="11" t="str"/>
      <x:c r="J68" s="11" t="str"/>
      <x:c r="K68" s="11" t="str"/>
      <x:c r="L68" s="12" t="str"/>
      <x:c r="M68" s="11" t="str"/>
      <x:c r="N68" s="11" t="str">
        <x:v>Pending</x:v>
      </x:c>
      <x:c r="O68" s="1"/>
      <x:c r="P68" s="1"/>
    </x:row>
    <x:row r="69" ht="80" customHeight="1">
      <x:c r="A69" s="9" t="str">
        <x:v>FIN</x:v>
      </x:c>
      <x:c r="B69" s="9" t="str">
        <x:v>FIN-UAT-06-A</x:v>
      </x:c>
      <x:c r="C69" s="9" t="str">
        <x:v>FIN-REQ-06</x:v>
      </x:c>
      <x:c r="D69" s="9" t="str">
        <x:v>Acceptance</x:v>
      </x:c>
      <x:c r="E69" s="9" t="str">
        <x:v>Use a disposable fixture for changed data; supplied source stays immutable. Application tests require a configured environment.</x:v>
      </x:c>
      <x:c r="F69" s="9" t="str">
        <x:v>Review requirement FIN-REQ-06; load the unchanged supplied source; inspect Q01 result and independently recompute its control totals.</x:v>
      </x:c>
      <x:c r="G69" s="9" t="str">
        <x:v>A rebuilt run produces identical totals for identical input hashes.</x:v>
      </x:c>
      <x:c r="H69" s="11" t="str">
        <x:v>Not executed</x:v>
      </x:c>
      <x:c r="I69" s="11" t="str"/>
      <x:c r="J69" s="11" t="str"/>
      <x:c r="K69" s="11" t="str"/>
      <x:c r="L69" s="12" t="str"/>
      <x:c r="M69" s="11" t="str"/>
      <x:c r="N69" s="11" t="str">
        <x:v>Pending</x:v>
      </x:c>
      <x:c r="O69" s="1"/>
      <x:c r="P69" s="1"/>
    </x:row>
    <x:row r="70" ht="80" customHeight="1">
      <x:c r="A70" s="9" t="str">
        <x:v>FIN</x:v>
      </x:c>
      <x:c r="B70" s="9" t="str">
        <x:v>FIN-UAT-06-B</x:v>
      </x:c>
      <x:c r="C70" s="9" t="str">
        <x:v>FIN-REQ-06</x:v>
      </x:c>
      <x:c r="D70" s="9" t="str">
        <x:v>Boundary / exception</x:v>
      </x:c>
      <x:c r="E70" s="9" t="str">
        <x:v>Use a disposable fixture for changed data; supplied source stays immutable. Application tests require a configured environment.</x:v>
      </x:c>
      <x:c r="F70" s="9" t="str">
        <x:v>Prepare a disposable case for this rule: Identical input hashes produce equal control totals; new files require a new close version. Re-run the applicable SQL or execute the control in the future configured application.</x:v>
      </x:c>
      <x:c r="G70" s="9" t="str">
        <x:v>Identical input hashes produce equal control totals; new files require a new close version.</x:v>
      </x:c>
      <x:c r="H70" s="11" t="str">
        <x:v>Not executed</x:v>
      </x:c>
      <x:c r="I70" s="11" t="str"/>
      <x:c r="J70" s="11" t="str"/>
      <x:c r="K70" s="11" t="str"/>
      <x:c r="L70" s="12" t="str"/>
      <x:c r="M70" s="11" t="str"/>
      <x:c r="N70" s="11" t="str">
        <x:v>Pending</x:v>
      </x:c>
      <x:c r="O70" s="1"/>
      <x:c r="P70" s="1"/>
    </x:row>
    <x:row r="71" ht="80" customHeight="1">
      <x:c r="A71" s="9" t="str">
        <x:v>FIN</x:v>
      </x:c>
      <x:c r="B71" s="9" t="str">
        <x:v>FIN-UAT-06-C</x:v>
      </x:c>
      <x:c r="C71" s="9" t="str">
        <x:v>FIN-REQ-06</x:v>
      </x:c>
      <x:c r="D71" s="9" t="str">
        <x:v>Business review</x:v>
      </x:c>
      <x:c r="E71" s="9" t="str">
        <x:v>Use a disposable fixture for changed data; supplied source stays immutable. Application tests require a configured environment.</x:v>
      </x:c>
      <x:c r="F71" s="9" t="str">
        <x:v>Ask the FP&amp;A Manager to review the labels, scope, evidence, and recommendation against FIN-REQ-06.</x:v>
      </x:c>
      <x:c r="G71" s="9" t="str">
        <x:v>Owner records Approved / Rejected / Needs clarification with a reason and supporting evidence.</x:v>
      </x:c>
      <x:c r="H71" s="11" t="str">
        <x:v>Not executed</x:v>
      </x:c>
      <x:c r="I71" s="11" t="str"/>
      <x:c r="J71" s="11" t="str"/>
      <x:c r="K71" s="11" t="str"/>
      <x:c r="L71" s="12" t="str"/>
      <x:c r="M71" s="11" t="str"/>
      <x:c r="N71" s="11" t="str">
        <x:v>Pending</x:v>
      </x:c>
      <x:c r="O71" s="1"/>
      <x:c r="P71" s="1"/>
    </x:row>
    <x:row r="72" ht="80" customHeight="1">
      <x:c r="A72" s="9" t="str">
        <x:v>FIN</x:v>
      </x:c>
      <x:c r="B72" s="9" t="str">
        <x:v>FIN-UAT-07-A</x:v>
      </x:c>
      <x:c r="C72" s="9" t="str">
        <x:v>FIN-REQ-07</x:v>
      </x:c>
      <x:c r="D72" s="9" t="str">
        <x:v>Acceptance</x:v>
      </x:c>
      <x:c r="E72" s="9" t="str">
        <x:v>Use a disposable fixture for changed data; supplied source stays immutable. Application tests require a configured environment.</x:v>
      </x:c>
      <x:c r="F72" s="9" t="str">
        <x:v>Review requirement FIN-REQ-07; load the unchanged supplied source; inspect the proposed control and execute it in a future configured application.</x:v>
      </x:c>
      <x:c r="G72" s="9" t="str">
        <x:v>A rejected reconciliation remains unresolved and cannot be marked approved by the preparer alone.</x:v>
      </x:c>
      <x:c r="H72" s="11" t="str">
        <x:v>Not executed</x:v>
      </x:c>
      <x:c r="I72" s="11" t="str"/>
      <x:c r="J72" s="11" t="str"/>
      <x:c r="K72" s="11" t="str"/>
      <x:c r="L72" s="12" t="str"/>
      <x:c r="M72" s="11" t="str"/>
      <x:c r="N72" s="11" t="str">
        <x:v>Pending</x:v>
      </x:c>
      <x:c r="O72" s="1"/>
      <x:c r="P72" s="1"/>
    </x:row>
    <x:row r="73" ht="80" customHeight="1">
      <x:c r="A73" s="9" t="str">
        <x:v>FIN</x:v>
      </x:c>
      <x:c r="B73" s="9" t="str">
        <x:v>FIN-UAT-07-B</x:v>
      </x:c>
      <x:c r="C73" s="9" t="str">
        <x:v>FIN-REQ-07</x:v>
      </x:c>
      <x:c r="D73" s="9" t="str">
        <x:v>Boundary / exception</x:v>
      </x:c>
      <x:c r="E73" s="9" t="str">
        <x:v>Use a disposable fixture for changed data; supplied source stays immutable. Application tests require a configured environment.</x:v>
      </x:c>
      <x:c r="F73" s="9" t="str">
        <x:v>Prepare a disposable case for this rule: The preparer cannot approve their own material exception; approval remains pending without reviewer evidence. Re-run the applicable SQL or execute the control in the future configured application.</x:v>
      </x:c>
      <x:c r="G73" s="9" t="str">
        <x:v>The preparer cannot approve their own material exception; approval remains pending without reviewer evidence.</x:v>
      </x:c>
      <x:c r="H73" s="11" t="str">
        <x:v>Not executed</x:v>
      </x:c>
      <x:c r="I73" s="11" t="str"/>
      <x:c r="J73" s="11" t="str"/>
      <x:c r="K73" s="11" t="str"/>
      <x:c r="L73" s="12" t="str"/>
      <x:c r="M73" s="11" t="str"/>
      <x:c r="N73" s="11" t="str">
        <x:v>Pending</x:v>
      </x:c>
      <x:c r="O73" s="1"/>
      <x:c r="P73" s="1"/>
    </x:row>
    <x:row r="74" ht="80" customHeight="1">
      <x:c r="A74" s="9" t="str">
        <x:v>FIN</x:v>
      </x:c>
      <x:c r="B74" s="9" t="str">
        <x:v>FIN-UAT-07-C</x:v>
      </x:c>
      <x:c r="C74" s="9" t="str">
        <x:v>FIN-REQ-07</x:v>
      </x:c>
      <x:c r="D74" s="9" t="str">
        <x:v>Business review</x:v>
      </x:c>
      <x:c r="E74" s="9" t="str">
        <x:v>Use a disposable fixture for changed data; supplied source stays immutable. Application tests require a configured environment.</x:v>
      </x:c>
      <x:c r="F74" s="9" t="str">
        <x:v>Ask the FP&amp;A Manager to review the labels, scope, evidence, and recommendation against FIN-REQ-07.</x:v>
      </x:c>
      <x:c r="G74" s="9" t="str">
        <x:v>Owner records Approved / Rejected / Needs clarification with a reason and supporting evidence.</x:v>
      </x:c>
      <x:c r="H74" s="11" t="str">
        <x:v>Not executed</x:v>
      </x:c>
      <x:c r="I74" s="11" t="str"/>
      <x:c r="J74" s="11" t="str"/>
      <x:c r="K74" s="11" t="str"/>
      <x:c r="L74" s="12" t="str"/>
      <x:c r="M74" s="11" t="str"/>
      <x:c r="N74" s="11" t="str">
        <x:v>Pending</x:v>
      </x:c>
      <x:c r="O74" s="1"/>
      <x:c r="P74" s="1"/>
    </x:row>
    <x:row r="75" ht="80" customHeight="1">
      <x:c r="A75" s="9" t="str">
        <x:v>FIN</x:v>
      </x:c>
      <x:c r="B75" s="9" t="str">
        <x:v>FIN-UAT-08-A</x:v>
      </x:c>
      <x:c r="C75" s="9" t="str">
        <x:v>FIN-REQ-08</x:v>
      </x:c>
      <x:c r="D75" s="9" t="str">
        <x:v>Acceptance</x:v>
      </x:c>
      <x:c r="E75" s="9" t="str">
        <x:v>Use a disposable fixture for changed data; supplied source stays immutable. Application tests require a configured environment.</x:v>
      </x:c>
      <x:c r="F75" s="9" t="str">
        <x:v>Review requirement FIN-REQ-08; load the unchanged supplied source; inspect Q03 result and independently recompute its control totals.</x:v>
      </x:c>
      <x:c r="G75" s="9" t="str">
        <x:v>No forecast accuracy uplift is claimed without actual/forecast history and a defined error measure.</x:v>
      </x:c>
      <x:c r="H75" s="11" t="str">
        <x:v>Not executed</x:v>
      </x:c>
      <x:c r="I75" s="11" t="str"/>
      <x:c r="J75" s="11" t="str"/>
      <x:c r="K75" s="11" t="str"/>
      <x:c r="L75" s="12" t="str"/>
      <x:c r="M75" s="11" t="str"/>
      <x:c r="N75" s="11" t="str">
        <x:v>Pending</x:v>
      </x:c>
      <x:c r="O75" s="1"/>
      <x:c r="P75" s="1"/>
    </x:row>
    <x:row r="76" ht="80" customHeight="1">
      <x:c r="A76" s="9" t="str">
        <x:v>FIN</x:v>
      </x:c>
      <x:c r="B76" s="9" t="str">
        <x:v>FIN-UAT-08-B</x:v>
      </x:c>
      <x:c r="C76" s="9" t="str">
        <x:v>FIN-REQ-08</x:v>
      </x:c>
      <x:c r="D76" s="9" t="str">
        <x:v>Boundary / exception</x:v>
      </x:c>
      <x:c r="E76" s="9" t="str">
        <x:v>Use a disposable fixture for changed data; supplied source stays immutable. Application tests require a configured environment.</x:v>
      </x:c>
      <x:c r="F76" s="9" t="str">
        <x:v>Prepare a disposable case for this rule: A forecast without forecast history cannot claim improved forecasting accuracy. Re-run the applicable SQL or execute the control in the future configured application.</x:v>
      </x:c>
      <x:c r="G76" s="9" t="str">
        <x:v>A forecast without forecast history cannot claim improved forecasting accuracy.</x:v>
      </x:c>
      <x:c r="H76" s="11" t="str">
        <x:v>Not executed</x:v>
      </x:c>
      <x:c r="I76" s="11" t="str"/>
      <x:c r="J76" s="11" t="str"/>
      <x:c r="K76" s="11" t="str"/>
      <x:c r="L76" s="12" t="str"/>
      <x:c r="M76" s="11" t="str"/>
      <x:c r="N76" s="11" t="str">
        <x:v>Pending</x:v>
      </x:c>
      <x:c r="O76" s="1"/>
      <x:c r="P76" s="1"/>
    </x:row>
    <x:row r="77" ht="80" customHeight="1">
      <x:c r="A77" s="9" t="str">
        <x:v>FIN</x:v>
      </x:c>
      <x:c r="B77" s="9" t="str">
        <x:v>FIN-UAT-08-C</x:v>
      </x:c>
      <x:c r="C77" s="9" t="str">
        <x:v>FIN-REQ-08</x:v>
      </x:c>
      <x:c r="D77" s="9" t="str">
        <x:v>Business review</x:v>
      </x:c>
      <x:c r="E77" s="9" t="str">
        <x:v>Use a disposable fixture for changed data; supplied source stays immutable. Application tests require a configured environment.</x:v>
      </x:c>
      <x:c r="F77" s="9" t="str">
        <x:v>Ask the FP&amp;A Manager to review the labels, scope, evidence, and recommendation against FIN-REQ-08.</x:v>
      </x:c>
      <x:c r="G77" s="9" t="str">
        <x:v>Owner records Approved / Rejected / Needs clarification with a reason and supporting evidence.</x:v>
      </x:c>
      <x:c r="H77" s="11" t="str">
        <x:v>Not executed</x:v>
      </x:c>
      <x:c r="I77" s="11" t="str"/>
      <x:c r="J77" s="11" t="str"/>
      <x:c r="K77" s="11" t="str"/>
      <x:c r="L77" s="12" t="str"/>
      <x:c r="M77" s="11" t="str"/>
      <x:c r="N77" s="11" t="str">
        <x:v>Pending</x:v>
      </x:c>
      <x:c r="O77" s="1"/>
      <x:c r="P77" s="1"/>
    </x:row>
    <x:row r="78" ht="80" customHeight="1">
      <x:c r="A78" s="9" t="str">
        <x:v>ADS</x:v>
      </x:c>
      <x:c r="B78" s="9" t="str">
        <x:v>ADS-UAT-01-A</x:v>
      </x:c>
      <x:c r="C78" s="9" t="str">
        <x:v>ADS-REQ-01</x:v>
      </x:c>
      <x:c r="D78" s="9" t="str">
        <x:v>Acceptance</x:v>
      </x:c>
      <x:c r="E78" s="9" t="str">
        <x:v>Use a disposable fixture for changed data; supplied source stays immutable. Application tests require a configured environment.</x:v>
      </x:c>
      <x:c r="F78" s="9" t="str">
        <x:v>Review requirement ADS-REQ-01; load the unchanged supplied source; inspect Q01 result and independently recompute its control totals.</x:v>
      </x:c>
      <x:c r="G78" s="9" t="str">
        <x:v>Revenue and cost control totals reconcile independently to the CSV.</x:v>
      </x:c>
      <x:c r="H78" s="11" t="str">
        <x:v>Not executed</x:v>
      </x:c>
      <x:c r="I78" s="11" t="str"/>
      <x:c r="J78" s="11" t="str"/>
      <x:c r="K78" s="11" t="str"/>
      <x:c r="L78" s="12" t="str"/>
      <x:c r="M78" s="11" t="str"/>
      <x:c r="N78" s="11" t="str">
        <x:v>Pending</x:v>
      </x:c>
      <x:c r="O78" s="1"/>
      <x:c r="P78" s="1"/>
    </x:row>
    <x:row r="79" ht="80" customHeight="1">
      <x:c r="A79" s="9" t="str">
        <x:v>ADS</x:v>
      </x:c>
      <x:c r="B79" s="9" t="str">
        <x:v>ADS-UAT-01-B</x:v>
      </x:c>
      <x:c r="C79" s="9" t="str">
        <x:v>ADS-REQ-01</x:v>
      </x:c>
      <x:c r="D79" s="9" t="str">
        <x:v>Boundary / exception</x:v>
      </x:c>
      <x:c r="E79" s="9" t="str">
        <x:v>Use a disposable fixture for changed data; supplied source stays immutable. Application tests require a configured environment.</x:v>
      </x:c>
      <x:c r="F79" s="9" t="str">
        <x:v>Prepare a disposable case for this rule: Dimension combinations may repeat legitimately; retain source rows rather than grouping during ingestion. Re-run the applicable SQL or execute the control in the future configured application.</x:v>
      </x:c>
      <x:c r="G79" s="9" t="str">
        <x:v>Dimension combinations may repeat legitimately; retain source rows rather than grouping during ingestion.</x:v>
      </x:c>
      <x:c r="H79" s="11" t="str">
        <x:v>Not executed</x:v>
      </x:c>
      <x:c r="I79" s="11" t="str"/>
      <x:c r="J79" s="11" t="str"/>
      <x:c r="K79" s="11" t="str"/>
      <x:c r="L79" s="12" t="str"/>
      <x:c r="M79" s="11" t="str"/>
      <x:c r="N79" s="11" t="str">
        <x:v>Pending</x:v>
      </x:c>
      <x:c r="O79" s="1"/>
      <x:c r="P79" s="1"/>
    </x:row>
    <x:row r="80" ht="80" customHeight="1">
      <x:c r="A80" s="9" t="str">
        <x:v>ADS</x:v>
      </x:c>
      <x:c r="B80" s="9" t="str">
        <x:v>ADS-UAT-01-C</x:v>
      </x:c>
      <x:c r="C80" s="9" t="str">
        <x:v>ADS-REQ-01</x:v>
      </x:c>
      <x:c r="D80" s="9" t="str">
        <x:v>Business review</x:v>
      </x:c>
      <x:c r="E80" s="9" t="str">
        <x:v>Use a disposable fixture for changed data; supplied source stays immutable. Application tests require a configured environment.</x:v>
      </x:c>
      <x:c r="F80" s="9" t="str">
        <x:v>Ask the Marketing Operations Manager to review the labels, scope, evidence, and recommendation against ADS-REQ-01.</x:v>
      </x:c>
      <x:c r="G80" s="9" t="str">
        <x:v>Owner records Approved / Rejected / Needs clarification with a reason and supporting evidence.</x:v>
      </x:c>
      <x:c r="H80" s="11" t="str">
        <x:v>Not executed</x:v>
      </x:c>
      <x:c r="I80" s="11" t="str"/>
      <x:c r="J80" s="11" t="str"/>
      <x:c r="K80" s="11" t="str"/>
      <x:c r="L80" s="12" t="str"/>
      <x:c r="M80" s="11" t="str"/>
      <x:c r="N80" s="11" t="str">
        <x:v>Pending</x:v>
      </x:c>
      <x:c r="O80" s="1"/>
      <x:c r="P80" s="1"/>
    </x:row>
    <x:row r="81" ht="80" customHeight="1">
      <x:c r="A81" s="9" t="str">
        <x:v>ADS</x:v>
      </x:c>
      <x:c r="B81" s="9" t="str">
        <x:v>ADS-UAT-02-A</x:v>
      </x:c>
      <x:c r="C81" s="9" t="str">
        <x:v>ADS-REQ-02</x:v>
      </x:c>
      <x:c r="D81" s="9" t="str">
        <x:v>Acceptance</x:v>
      </x:c>
      <x:c r="E81" s="9" t="str">
        <x:v>Use a disposable fixture for changed data; supplied source stays immutable. Application tests require a configured environment.</x:v>
      </x:c>
      <x:c r="F81" s="9" t="str">
        <x:v>Review requirement ADS-REQ-02; load the unchanged supplied source; inspect Q02 result and independently recompute its control totals.</x:v>
      </x:c>
      <x:c r="G81" s="9" t="str">
        <x:v>Weighted fixtures match independent arithmetic; all zero denominators return null.</x:v>
      </x:c>
      <x:c r="H81" s="11" t="str">
        <x:v>Not executed</x:v>
      </x:c>
      <x:c r="I81" s="11" t="str"/>
      <x:c r="J81" s="11" t="str"/>
      <x:c r="K81" s="11" t="str"/>
      <x:c r="L81" s="12" t="str"/>
      <x:c r="M81" s="11" t="str"/>
      <x:c r="N81" s="11" t="str">
        <x:v>Pending</x:v>
      </x:c>
      <x:c r="O81" s="1"/>
      <x:c r="P81" s="1"/>
    </x:row>
    <x:row r="82" ht="80" customHeight="1">
      <x:c r="A82" s="9" t="str">
        <x:v>ADS</x:v>
      </x:c>
      <x:c r="B82" s="9" t="str">
        <x:v>ADS-UAT-02-B</x:v>
      </x:c>
      <x:c r="C82" s="9" t="str">
        <x:v>ADS-REQ-02</x:v>
      </x:c>
      <x:c r="D82" s="9" t="str">
        <x:v>Boundary / exception</x:v>
      </x:c>
      <x:c r="E82" s="9" t="str">
        <x:v>Use a disposable fixture for changed data; supplied source stays immutable. Application tests require a configured environment.</x:v>
      </x:c>
      <x:c r="F82" s="9" t="str">
        <x:v>Prepare a disposable case for this rule: No spend, no impressions, or no clicks yields undefined corresponding ratios. Re-run the applicable SQL or execute the control in the future configured application.</x:v>
      </x:c>
      <x:c r="G82" s="9" t="str">
        <x:v>No spend, no impressions, or no clicks yields undefined corresponding ratios.</x:v>
      </x:c>
      <x:c r="H82" s="11" t="str">
        <x:v>Not executed</x:v>
      </x:c>
      <x:c r="I82" s="11" t="str"/>
      <x:c r="J82" s="11" t="str"/>
      <x:c r="K82" s="11" t="str"/>
      <x:c r="L82" s="12" t="str"/>
      <x:c r="M82" s="11" t="str"/>
      <x:c r="N82" s="11" t="str">
        <x:v>Pending</x:v>
      </x:c>
      <x:c r="O82" s="1"/>
      <x:c r="P82" s="1"/>
    </x:row>
    <x:row r="83" ht="80" customHeight="1">
      <x:c r="A83" s="9" t="str">
        <x:v>ADS</x:v>
      </x:c>
      <x:c r="B83" s="9" t="str">
        <x:v>ADS-UAT-02-C</x:v>
      </x:c>
      <x:c r="C83" s="9" t="str">
        <x:v>ADS-REQ-02</x:v>
      </x:c>
      <x:c r="D83" s="9" t="str">
        <x:v>Business review</x:v>
      </x:c>
      <x:c r="E83" s="9" t="str">
        <x:v>Use a disposable fixture for changed data; supplied source stays immutable. Application tests require a configured environment.</x:v>
      </x:c>
      <x:c r="F83" s="9" t="str">
        <x:v>Ask the Marketing Operations Manager to review the labels, scope, evidence, and recommendation against ADS-REQ-02.</x:v>
      </x:c>
      <x:c r="G83" s="9" t="str">
        <x:v>Owner records Approved / Rejected / Needs clarification with a reason and supporting evidence.</x:v>
      </x:c>
      <x:c r="H83" s="11" t="str">
        <x:v>Not executed</x:v>
      </x:c>
      <x:c r="I83" s="11" t="str"/>
      <x:c r="J83" s="11" t="str"/>
      <x:c r="K83" s="11" t="str"/>
      <x:c r="L83" s="12" t="str"/>
      <x:c r="M83" s="11" t="str"/>
      <x:c r="N83" s="11" t="str">
        <x:v>Pending</x:v>
      </x:c>
      <x:c r="O83" s="1"/>
      <x:c r="P83" s="1"/>
    </x:row>
    <x:row r="84" ht="80" customHeight="1">
      <x:c r="A84" s="9" t="str">
        <x:v>ADS</x:v>
      </x:c>
      <x:c r="B84" s="9" t="str">
        <x:v>ADS-UAT-03-A</x:v>
      </x:c>
      <x:c r="C84" s="9" t="str">
        <x:v>ADS-REQ-03</x:v>
      </x:c>
      <x:c r="D84" s="9" t="str">
        <x:v>Acceptance</x:v>
      </x:c>
      <x:c r="E84" s="9" t="str">
        <x:v>Use a disposable fixture for changed data; supplied source stays immutable. Application tests require a configured environment.</x:v>
      </x:c>
      <x:c r="F84" s="9" t="str">
        <x:v>Review requirement ADS-REQ-03; load the unchanged supplied source; inspect Q02 result and independently recompute its control totals.</x:v>
      </x:c>
      <x:c r="G84" s="9" t="str">
        <x:v>Group totals reconcile to the portfolio totals and contribution is correctly labeled.</x:v>
      </x:c>
      <x:c r="H84" s="11" t="str">
        <x:v>Not executed</x:v>
      </x:c>
      <x:c r="I84" s="11" t="str"/>
      <x:c r="J84" s="11" t="str"/>
      <x:c r="K84" s="11" t="str"/>
      <x:c r="L84" s="12" t="str"/>
      <x:c r="M84" s="11" t="str"/>
      <x:c r="N84" s="11" t="str">
        <x:v>Pending</x:v>
      </x:c>
      <x:c r="O84" s="1"/>
      <x:c r="P84" s="1"/>
    </x:row>
    <x:row r="85" ht="80" customHeight="1">
      <x:c r="A85" s="9" t="str">
        <x:v>ADS</x:v>
      </x:c>
      <x:c r="B85" s="9" t="str">
        <x:v>ADS-UAT-03-B</x:v>
      </x:c>
      <x:c r="C85" s="9" t="str">
        <x:v>ADS-REQ-03</x:v>
      </x:c>
      <x:c r="D85" s="9" t="str">
        <x:v>Boundary / exception</x:v>
      </x:c>
      <x:c r="E85" s="9" t="str">
        <x:v>Use a disposable fixture for changed data; supplied source stays immutable. Application tests require a configured environment.</x:v>
      </x:c>
      <x:c r="F85" s="9" t="str">
        <x:v>Prepare a disposable case for this rule: Contribution excludes other business costs; low spend remains visible beside high ROAS. Re-run the applicable SQL or execute the control in the future configured application.</x:v>
      </x:c>
      <x:c r="G85" s="9" t="str">
        <x:v>Contribution excludes other business costs; low spend remains visible beside high ROAS.</x:v>
      </x:c>
      <x:c r="H85" s="11" t="str">
        <x:v>Not executed</x:v>
      </x:c>
      <x:c r="I85" s="11" t="str"/>
      <x:c r="J85" s="11" t="str"/>
      <x:c r="K85" s="11" t="str"/>
      <x:c r="L85" s="12" t="str"/>
      <x:c r="M85" s="11" t="str"/>
      <x:c r="N85" s="11" t="str">
        <x:v>Pending</x:v>
      </x:c>
      <x:c r="O85" s="1"/>
      <x:c r="P85" s="1"/>
    </x:row>
    <x:row r="86" ht="80" customHeight="1">
      <x:c r="A86" s="9" t="str">
        <x:v>ADS</x:v>
      </x:c>
      <x:c r="B86" s="9" t="str">
        <x:v>ADS-UAT-03-C</x:v>
      </x:c>
      <x:c r="C86" s="9" t="str">
        <x:v>ADS-REQ-03</x:v>
      </x:c>
      <x:c r="D86" s="9" t="str">
        <x:v>Business review</x:v>
      </x:c>
      <x:c r="E86" s="9" t="str">
        <x:v>Use a disposable fixture for changed data; supplied source stays immutable. Application tests require a configured environment.</x:v>
      </x:c>
      <x:c r="F86" s="9" t="str">
        <x:v>Ask the Marketing Operations Manager to review the labels, scope, evidence, and recommendation against ADS-REQ-03.</x:v>
      </x:c>
      <x:c r="G86" s="9" t="str">
        <x:v>Owner records Approved / Rejected / Needs clarification with a reason and supporting evidence.</x:v>
      </x:c>
      <x:c r="H86" s="11" t="str">
        <x:v>Not executed</x:v>
      </x:c>
      <x:c r="I86" s="11" t="str"/>
      <x:c r="J86" s="11" t="str"/>
      <x:c r="K86" s="11" t="str"/>
      <x:c r="L86" s="12" t="str"/>
      <x:c r="M86" s="11" t="str"/>
      <x:c r="N86" s="11" t="str">
        <x:v>Pending</x:v>
      </x:c>
      <x:c r="O86" s="1"/>
      <x:c r="P86" s="1"/>
    </x:row>
    <x:row r="87" ht="80" customHeight="1">
      <x:c r="A87" s="9" t="str">
        <x:v>ADS</x:v>
      </x:c>
      <x:c r="B87" s="9" t="str">
        <x:v>ADS-UAT-04-A</x:v>
      </x:c>
      <x:c r="C87" s="9" t="str">
        <x:v>ADS-REQ-04</x:v>
      </x:c>
      <x:c r="D87" s="9" t="str">
        <x:v>Acceptance</x:v>
      </x:c>
      <x:c r="E87" s="9" t="str">
        <x:v>Use a disposable fixture for changed data; supplied source stays immutable. Application tests require a configured environment.</x:v>
      </x:c>
      <x:c r="F87" s="9" t="str">
        <x:v>Review requirement ADS-REQ-04; load the unchanged supplied source; inspect Q03 result and independently recompute its control totals.</x:v>
      </x:c>
      <x:c r="G87" s="9" t="str">
        <x:v>Device totals reconcile and no causal explanation is generated automatically.</x:v>
      </x:c>
      <x:c r="H87" s="11" t="str">
        <x:v>Not executed</x:v>
      </x:c>
      <x:c r="I87" s="11" t="str"/>
      <x:c r="J87" s="11" t="str"/>
      <x:c r="K87" s="11" t="str"/>
      <x:c r="L87" s="12" t="str"/>
      <x:c r="M87" s="11" t="str"/>
      <x:c r="N87" s="11" t="str">
        <x:v>Pending</x:v>
      </x:c>
      <x:c r="O87" s="1"/>
      <x:c r="P87" s="1"/>
    </x:row>
    <x:row r="88" ht="80" customHeight="1">
      <x:c r="A88" s="9" t="str">
        <x:v>ADS</x:v>
      </x:c>
      <x:c r="B88" s="9" t="str">
        <x:v>ADS-UAT-04-B</x:v>
      </x:c>
      <x:c r="C88" s="9" t="str">
        <x:v>ADS-REQ-04</x:v>
      </x:c>
      <x:c r="D88" s="9" t="str">
        <x:v>Boundary / exception</x:v>
      </x:c>
      <x:c r="E88" s="9" t="str">
        <x:v>Use a disposable fixture for changed data; supplied source stays immutable. Application tests require a configured environment.</x:v>
      </x:c>
      <x:c r="F88" s="9" t="str">
        <x:v>Prepare a disposable case for this rule: Device mix is observational and cannot establish causal effectiveness. Re-run the applicable SQL or execute the control in the future configured application.</x:v>
      </x:c>
      <x:c r="G88" s="9" t="str">
        <x:v>Device mix is observational and cannot establish causal effectiveness.</x:v>
      </x:c>
      <x:c r="H88" s="11" t="str">
        <x:v>Not executed</x:v>
      </x:c>
      <x:c r="I88" s="11" t="str"/>
      <x:c r="J88" s="11" t="str"/>
      <x:c r="K88" s="11" t="str"/>
      <x:c r="L88" s="12" t="str"/>
      <x:c r="M88" s="11" t="str"/>
      <x:c r="N88" s="11" t="str">
        <x:v>Pending</x:v>
      </x:c>
      <x:c r="O88" s="1"/>
      <x:c r="P88" s="1"/>
    </x:row>
    <x:row r="89" ht="80" customHeight="1">
      <x:c r="A89" s="9" t="str">
        <x:v>ADS</x:v>
      </x:c>
      <x:c r="B89" s="9" t="str">
        <x:v>ADS-UAT-04-C</x:v>
      </x:c>
      <x:c r="C89" s="9" t="str">
        <x:v>ADS-REQ-04</x:v>
      </x:c>
      <x:c r="D89" s="9" t="str">
        <x:v>Business review</x:v>
      </x:c>
      <x:c r="E89" s="9" t="str">
        <x:v>Use a disposable fixture for changed data; supplied source stays immutable. Application tests require a configured environment.</x:v>
      </x:c>
      <x:c r="F89" s="9" t="str">
        <x:v>Ask the Marketing Operations Manager to review the labels, scope, evidence, and recommendation against ADS-REQ-04.</x:v>
      </x:c>
      <x:c r="G89" s="9" t="str">
        <x:v>Owner records Approved / Rejected / Needs clarification with a reason and supporting evidence.</x:v>
      </x:c>
      <x:c r="H89" s="11" t="str">
        <x:v>Not executed</x:v>
      </x:c>
      <x:c r="I89" s="11" t="str"/>
      <x:c r="J89" s="11" t="str"/>
      <x:c r="K89" s="11" t="str"/>
      <x:c r="L89" s="12" t="str"/>
      <x:c r="M89" s="11" t="str"/>
      <x:c r="N89" s="11" t="str">
        <x:v>Pending</x:v>
      </x:c>
      <x:c r="O89" s="1"/>
      <x:c r="P89" s="1"/>
    </x:row>
    <x:row r="90" ht="80" customHeight="1">
      <x:c r="A90" s="9" t="str">
        <x:v>ADS</x:v>
      </x:c>
      <x:c r="B90" s="9" t="str">
        <x:v>ADS-UAT-05-A</x:v>
      </x:c>
      <x:c r="C90" s="9" t="str">
        <x:v>ADS-REQ-05</x:v>
      </x:c>
      <x:c r="D90" s="9" t="str">
        <x:v>Acceptance</x:v>
      </x:c>
      <x:c r="E90" s="9" t="str">
        <x:v>Use a disposable fixture for changed data; supplied source stays immutable. Application tests require a configured environment.</x:v>
      </x:c>
      <x:c r="F90" s="9" t="str">
        <x:v>Review requirement ADS-REQ-05; load the unchanged supplied source; inspect Q04 result and independently recompute its control totals.</x:v>
      </x:c>
      <x:c r="G90" s="9" t="str">
        <x:v>Month order is chronological and first-month change is null.</x:v>
      </x:c>
      <x:c r="H90" s="11" t="str">
        <x:v>Not executed</x:v>
      </x:c>
      <x:c r="I90" s="11" t="str"/>
      <x:c r="J90" s="11" t="str"/>
      <x:c r="K90" s="11" t="str"/>
      <x:c r="L90" s="12" t="str"/>
      <x:c r="M90" s="11" t="str"/>
      <x:c r="N90" s="11" t="str">
        <x:v>Pending</x:v>
      </x:c>
      <x:c r="O90" s="1"/>
      <x:c r="P90" s="1"/>
    </x:row>
    <x:row r="91" ht="80" customHeight="1">
      <x:c r="A91" s="9" t="str">
        <x:v>ADS</x:v>
      </x:c>
      <x:c r="B91" s="9" t="str">
        <x:v>ADS-UAT-05-B</x:v>
      </x:c>
      <x:c r="C91" s="9" t="str">
        <x:v>ADS-REQ-05</x:v>
      </x:c>
      <x:c r="D91" s="9" t="str">
        <x:v>Boundary / exception</x:v>
      </x:c>
      <x:c r="E91" s="9" t="str">
        <x:v>Use a disposable fixture for changed data; supplied source stays immutable. Application tests require a configured environment.</x:v>
      </x:c>
      <x:c r="F91" s="9" t="str">
        <x:v>Prepare a disposable case for this rule: The first month has no prior spend comparison; production changes require complete adjacent months. Re-run the applicable SQL or execute the control in the future configured application.</x:v>
      </x:c>
      <x:c r="G91" s="9" t="str">
        <x:v>The first month has no prior spend comparison; production changes require complete adjacent months.</x:v>
      </x:c>
      <x:c r="H91" s="11" t="str">
        <x:v>Not executed</x:v>
      </x:c>
      <x:c r="I91" s="11" t="str"/>
      <x:c r="J91" s="11" t="str"/>
      <x:c r="K91" s="11" t="str"/>
      <x:c r="L91" s="12" t="str"/>
      <x:c r="M91" s="11" t="str"/>
      <x:c r="N91" s="11" t="str">
        <x:v>Pending</x:v>
      </x:c>
      <x:c r="O91" s="1"/>
      <x:c r="P91" s="1"/>
    </x:row>
    <x:row r="92" ht="80" customHeight="1">
      <x:c r="A92" s="9" t="str">
        <x:v>ADS</x:v>
      </x:c>
      <x:c r="B92" s="9" t="str">
        <x:v>ADS-UAT-05-C</x:v>
      </x:c>
      <x:c r="C92" s="9" t="str">
        <x:v>ADS-REQ-05</x:v>
      </x:c>
      <x:c r="D92" s="9" t="str">
        <x:v>Business review</x:v>
      </x:c>
      <x:c r="E92" s="9" t="str">
        <x:v>Use a disposable fixture for changed data; supplied source stays immutable. Application tests require a configured environment.</x:v>
      </x:c>
      <x:c r="F92" s="9" t="str">
        <x:v>Ask the Marketing Operations Manager to review the labels, scope, evidence, and recommendation against ADS-REQ-05.</x:v>
      </x:c>
      <x:c r="G92" s="9" t="str">
        <x:v>Owner records Approved / Rejected / Needs clarification with a reason and supporting evidence.</x:v>
      </x:c>
      <x:c r="H92" s="11" t="str">
        <x:v>Not executed</x:v>
      </x:c>
      <x:c r="I92" s="11" t="str"/>
      <x:c r="J92" s="11" t="str"/>
      <x:c r="K92" s="11" t="str"/>
      <x:c r="L92" s="12" t="str"/>
      <x:c r="M92" s="11" t="str"/>
      <x:c r="N92" s="11" t="str">
        <x:v>Pending</x:v>
      </x:c>
      <x:c r="O92" s="1"/>
      <x:c r="P92" s="1"/>
    </x:row>
    <x:row r="93" ht="80" customHeight="1">
      <x:c r="A93" s="9" t="str">
        <x:v>ADS</x:v>
      </x:c>
      <x:c r="B93" s="9" t="str">
        <x:v>ADS-UAT-06-A</x:v>
      </x:c>
      <x:c r="C93" s="9" t="str">
        <x:v>ADS-REQ-06</x:v>
      </x:c>
      <x:c r="D93" s="9" t="str">
        <x:v>Acceptance</x:v>
      </x:c>
      <x:c r="E93" s="9" t="str">
        <x:v>Use a disposable fixture for changed data; supplied source stays immutable. Application tests require a configured environment.</x:v>
      </x:c>
      <x:c r="F93" s="9" t="str">
        <x:v>Review requirement ADS-REQ-06; load the unchanged supplied source; inspect the proposed control and execute it in a future configured application.</x:v>
      </x:c>
      <x:c r="G93" s="9" t="str">
        <x:v>The proposed plan includes approval, holdout strategy, minimum evidence, and a stop rule.</x:v>
      </x:c>
      <x:c r="H93" s="11" t="str">
        <x:v>Not executed</x:v>
      </x:c>
      <x:c r="I93" s="11" t="str"/>
      <x:c r="J93" s="11" t="str"/>
      <x:c r="K93" s="11" t="str"/>
      <x:c r="L93" s="12" t="str"/>
      <x:c r="M93" s="11" t="str"/>
      <x:c r="N93" s="11" t="str">
        <x:v>Pending</x:v>
      </x:c>
      <x:c r="O93" s="1"/>
      <x:c r="P93" s="1"/>
    </x:row>
    <x:row r="94" ht="80" customHeight="1">
      <x:c r="A94" s="9" t="str">
        <x:v>ADS</x:v>
      </x:c>
      <x:c r="B94" s="9" t="str">
        <x:v>ADS-UAT-06-B</x:v>
      </x:c>
      <x:c r="C94" s="9" t="str">
        <x:v>ADS-REQ-06</x:v>
      </x:c>
      <x:c r="D94" s="9" t="str">
        <x:v>Boundary / exception</x:v>
      </x:c>
      <x:c r="E94" s="9" t="str">
        <x:v>Use a disposable fixture for changed data; supplied source stays immutable. Application tests require a configured environment.</x:v>
      </x:c>
      <x:c r="F94" s="9" t="str">
        <x:v>Prepare a disposable case for this rule: A pilot stops at its agreed cap or adverse guardrail; an observational high ROAS is not automatic approval. Re-run the applicable SQL or execute the control in the future configured application.</x:v>
      </x:c>
      <x:c r="G94" s="9" t="str">
        <x:v>A pilot stops at its agreed cap or adverse guardrail; an observational high ROAS is not automatic approval.</x:v>
      </x:c>
      <x:c r="H94" s="11" t="str">
        <x:v>Not executed</x:v>
      </x:c>
      <x:c r="I94" s="11" t="str"/>
      <x:c r="J94" s="11" t="str"/>
      <x:c r="K94" s="11" t="str"/>
      <x:c r="L94" s="12" t="str"/>
      <x:c r="M94" s="11" t="str"/>
      <x:c r="N94" s="11" t="str">
        <x:v>Pending</x:v>
      </x:c>
      <x:c r="O94" s="1"/>
      <x:c r="P94" s="1"/>
    </x:row>
    <x:row r="95" ht="80" customHeight="1">
      <x:c r="A95" s="9" t="str">
        <x:v>ADS</x:v>
      </x:c>
      <x:c r="B95" s="9" t="str">
        <x:v>ADS-UAT-06-C</x:v>
      </x:c>
      <x:c r="C95" s="9" t="str">
        <x:v>ADS-REQ-06</x:v>
      </x:c>
      <x:c r="D95" s="9" t="str">
        <x:v>Business review</x:v>
      </x:c>
      <x:c r="E95" s="9" t="str">
        <x:v>Use a disposable fixture for changed data; supplied source stays immutable. Application tests require a configured environment.</x:v>
      </x:c>
      <x:c r="F95" s="9" t="str">
        <x:v>Ask the Marketing Operations Manager to review the labels, scope, evidence, and recommendation against ADS-REQ-06.</x:v>
      </x:c>
      <x:c r="G95" s="9" t="str">
        <x:v>Owner records Approved / Rejected / Needs clarification with a reason and supporting evidence.</x:v>
      </x:c>
      <x:c r="H95" s="11" t="str">
        <x:v>Not executed</x:v>
      </x:c>
      <x:c r="I95" s="11" t="str"/>
      <x:c r="J95" s="11" t="str"/>
      <x:c r="K95" s="11" t="str"/>
      <x:c r="L95" s="12" t="str"/>
      <x:c r="M95" s="11" t="str"/>
      <x:c r="N95" s="11" t="str">
        <x:v>Pending</x:v>
      </x:c>
      <x:c r="O95" s="1"/>
      <x:c r="P95" s="1"/>
    </x:row>
    <x:row r="96" ht="80" customHeight="1">
      <x:c r="A96" s="9" t="str">
        <x:v>ADS</x:v>
      </x:c>
      <x:c r="B96" s="9" t="str">
        <x:v>ADS-UAT-07-A</x:v>
      </x:c>
      <x:c r="C96" s="9" t="str">
        <x:v>ADS-REQ-07</x:v>
      </x:c>
      <x:c r="D96" s="9" t="str">
        <x:v>Acceptance</x:v>
      </x:c>
      <x:c r="E96" s="9" t="str">
        <x:v>Use a disposable fixture for changed data; supplied source stays immutable. Application tests require a configured environment.</x:v>
      </x:c>
      <x:c r="F96" s="9" t="str">
        <x:v>Review requirement ADS-REQ-07; load the unchanged supplied source; inspect Q01 result and independently recompute its control totals.</x:v>
      </x:c>
      <x:c r="G96" s="9" t="str">
        <x:v>Every record with a difference above $0.01 is reported and full-profit language is excluded.</x:v>
      </x:c>
      <x:c r="H96" s="11" t="str">
        <x:v>Not executed</x:v>
      </x:c>
      <x:c r="I96" s="11" t="str"/>
      <x:c r="J96" s="11" t="str"/>
      <x:c r="K96" s="11" t="str"/>
      <x:c r="L96" s="12" t="str"/>
      <x:c r="M96" s="11" t="str"/>
      <x:c r="N96" s="11" t="str">
        <x:v>Pending</x:v>
      </x:c>
      <x:c r="O96" s="1"/>
      <x:c r="P96" s="1"/>
    </x:row>
    <x:row r="97" ht="80" customHeight="1">
      <x:c r="A97" s="9" t="str">
        <x:v>ADS</x:v>
      </x:c>
      <x:c r="B97" s="9" t="str">
        <x:v>ADS-UAT-07-B</x:v>
      </x:c>
      <x:c r="C97" s="9" t="str">
        <x:v>ADS-REQ-07</x:v>
      </x:c>
      <x:c r="D97" s="9" t="str">
        <x:v>Boundary / exception</x:v>
      </x:c>
      <x:c r="E97" s="9" t="str">
        <x:v>Use a disposable fixture for changed data; supplied source stays immutable. Application tests require a configured environment.</x:v>
      </x:c>
      <x:c r="F97" s="9" t="str">
        <x:v>Prepare a disposable case for this rule: A source P&amp;L difference above $0.01 is an exception; display both values until resolved. Re-run the applicable SQL or execute the control in the future configured application.</x:v>
      </x:c>
      <x:c r="G97" s="9" t="str">
        <x:v>A source P&amp;L difference above $0.01 is an exception; display both values until resolved.</x:v>
      </x:c>
      <x:c r="H97" s="11" t="str">
        <x:v>Not executed</x:v>
      </x:c>
      <x:c r="I97" s="11" t="str"/>
      <x:c r="J97" s="11" t="str"/>
      <x:c r="K97" s="11" t="str"/>
      <x:c r="L97" s="12" t="str"/>
      <x:c r="M97" s="11" t="str"/>
      <x:c r="N97" s="11" t="str">
        <x:v>Pending</x:v>
      </x:c>
      <x:c r="O97" s="1"/>
      <x:c r="P97" s="1"/>
    </x:row>
    <x:row r="98" ht="80" customHeight="1">
      <x:c r="A98" s="9" t="str">
        <x:v>ADS</x:v>
      </x:c>
      <x:c r="B98" s="9" t="str">
        <x:v>ADS-UAT-07-C</x:v>
      </x:c>
      <x:c r="C98" s="9" t="str">
        <x:v>ADS-REQ-07</x:v>
      </x:c>
      <x:c r="D98" s="9" t="str">
        <x:v>Business review</x:v>
      </x:c>
      <x:c r="E98" s="9" t="str">
        <x:v>Use a disposable fixture for changed data; supplied source stays immutable. Application tests require a configured environment.</x:v>
      </x:c>
      <x:c r="F98" s="9" t="str">
        <x:v>Ask the Marketing Operations Manager to review the labels, scope, evidence, and recommendation against ADS-REQ-07.</x:v>
      </x:c>
      <x:c r="G98" s="9" t="str">
        <x:v>Owner records Approved / Rejected / Needs clarification with a reason and supporting evidence.</x:v>
      </x:c>
      <x:c r="H98" s="11" t="str">
        <x:v>Not executed</x:v>
      </x:c>
      <x:c r="I98" s="11" t="str"/>
      <x:c r="J98" s="11" t="str"/>
      <x:c r="K98" s="11" t="str"/>
      <x:c r="L98" s="12" t="str"/>
      <x:c r="M98" s="11" t="str"/>
      <x:c r="N98" s="11" t="str">
        <x:v>Pending</x:v>
      </x:c>
      <x:c r="O98" s="1"/>
      <x:c r="P98" s="1"/>
    </x:row>
    <x:row r="99" ht="80" customHeight="1">
      <x:c r="A99" s="9" t="str">
        <x:v>ADS</x:v>
      </x:c>
      <x:c r="B99" s="9" t="str">
        <x:v>ADS-UAT-08-A</x:v>
      </x:c>
      <x:c r="C99" s="9" t="str">
        <x:v>ADS-REQ-08</x:v>
      </x:c>
      <x:c r="D99" s="9" t="str">
        <x:v>Acceptance</x:v>
      </x:c>
      <x:c r="E99" s="9" t="str">
        <x:v>Use a disposable fixture for changed data; supplied source stays immutable. Application tests require a configured environment.</x:v>
      </x:c>
      <x:c r="F99" s="9" t="str">
        <x:v>Review requirement ADS-REQ-08; load the unchanged supplied source; inspect the proposed control and execute it in a future configured application.</x:v>
      </x:c>
      <x:c r="G99" s="9" t="str">
        <x:v>A future access test prevents viewer budget edits; prototype CSV has no role enforcement.</x:v>
      </x:c>
      <x:c r="H99" s="11" t="str">
        <x:v>Not executed</x:v>
      </x:c>
      <x:c r="I99" s="11" t="str"/>
      <x:c r="J99" s="11" t="str"/>
      <x:c r="K99" s="11" t="str"/>
      <x:c r="L99" s="12" t="str"/>
      <x:c r="M99" s="11" t="str"/>
      <x:c r="N99" s="11" t="str">
        <x:v>Pending</x:v>
      </x:c>
      <x:c r="O99" s="1"/>
      <x:c r="P99" s="1"/>
    </x:row>
    <x:row r="100" ht="80" customHeight="1">
      <x:c r="A100" s="9" t="str">
        <x:v>ADS</x:v>
      </x:c>
      <x:c r="B100" s="9" t="str">
        <x:v>ADS-UAT-08-B</x:v>
      </x:c>
      <x:c r="C100" s="9" t="str">
        <x:v>ADS-REQ-08</x:v>
      </x:c>
      <x:c r="D100" s="9" t="str">
        <x:v>Boundary / exception</x:v>
      </x:c>
      <x:c r="E100" s="9" t="str">
        <x:v>Use a disposable fixture for changed data; supplied source stays immutable. Application tests require a configured environment.</x:v>
      </x:c>
      <x:c r="F100" s="9" t="str">
        <x:v>Prepare a disposable case for this rule: Unauthorized budget changes are blocked in a future configured system; local CSV has no such control. Re-run the applicable SQL or execute the control in the future configured application.</x:v>
      </x:c>
      <x:c r="G100" s="9" t="str">
        <x:v>Unauthorized budget changes are blocked in a future configured system; local CSV has no such control.</x:v>
      </x:c>
      <x:c r="H100" s="11" t="str">
        <x:v>Not executed</x:v>
      </x:c>
      <x:c r="I100" s="11" t="str"/>
      <x:c r="J100" s="11" t="str"/>
      <x:c r="K100" s="11" t="str"/>
      <x:c r="L100" s="12" t="str"/>
      <x:c r="M100" s="11" t="str"/>
      <x:c r="N100" s="11" t="str">
        <x:v>Pending</x:v>
      </x:c>
      <x:c r="O100" s="1"/>
      <x:c r="P100" s="1"/>
    </x:row>
    <x:row r="101" ht="80" customHeight="1">
      <x:c r="A101" s="9" t="str">
        <x:v>ADS</x:v>
      </x:c>
      <x:c r="B101" s="9" t="str">
        <x:v>ADS-UAT-08-C</x:v>
      </x:c>
      <x:c r="C101" s="9" t="str">
        <x:v>ADS-REQ-08</x:v>
      </x:c>
      <x:c r="D101" s="9" t="str">
        <x:v>Business review</x:v>
      </x:c>
      <x:c r="E101" s="9" t="str">
        <x:v>Use a disposable fixture for changed data; supplied source stays immutable. Application tests require a configured environment.</x:v>
      </x:c>
      <x:c r="F101" s="9" t="str">
        <x:v>Ask the Marketing Operations Manager to review the labels, scope, evidence, and recommendation against ADS-REQ-08.</x:v>
      </x:c>
      <x:c r="G101" s="9" t="str">
        <x:v>Owner records Approved / Rejected / Needs clarification with a reason and supporting evidence.</x:v>
      </x:c>
      <x:c r="H101" s="11" t="str">
        <x:v>Not executed</x:v>
      </x:c>
      <x:c r="I101" s="11" t="str"/>
      <x:c r="J101" s="11" t="str"/>
      <x:c r="K101" s="11" t="str"/>
      <x:c r="L101" s="12" t="str"/>
      <x:c r="M101" s="11" t="str"/>
      <x:c r="N101" s="11" t="str">
        <x:v>Pending</x:v>
      </x:c>
      <x:c r="O101" s="1"/>
      <x:c r="P101" s="1"/>
    </x:row>
    <x:row r="102" ht="80" customHeight="1">
      <x:c r="A102" s="9" t="str">
        <x:v>REG</x:v>
      </x:c>
      <x:c r="B102" s="9" t="str">
        <x:v>REG-UAT-01-A</x:v>
      </x:c>
      <x:c r="C102" s="9" t="str">
        <x:v>REG-REQ-01</x:v>
      </x:c>
      <x:c r="D102" s="9" t="str">
        <x:v>Acceptance</x:v>
      </x:c>
      <x:c r="E102" s="9" t="str">
        <x:v>Use a disposable fixture for changed data; supplied source stays immutable. Application tests require a configured environment.</x:v>
      </x:c>
      <x:c r="F102" s="9" t="str">
        <x:v>Review requirement REG-REQ-01; load the unchanged supplied source; inspect Q01 result and independently recompute its control totals.</x:v>
      </x:c>
      <x:c r="G102" s="9" t="str">
        <x:v>No duplicate candidate keys or conflicting mappings are silently accepted.</x:v>
      </x:c>
      <x:c r="H102" s="11" t="str">
        <x:v>Not executed</x:v>
      </x:c>
      <x:c r="I102" s="11" t="str"/>
      <x:c r="J102" s="11" t="str"/>
      <x:c r="K102" s="11" t="str"/>
      <x:c r="L102" s="12" t="str"/>
      <x:c r="M102" s="11" t="str"/>
      <x:c r="N102" s="11" t="str">
        <x:v>Pending</x:v>
      </x:c>
      <x:c r="O102" s="1"/>
      <x:c r="P102" s="1"/>
    </x:row>
    <x:row r="103" ht="80" customHeight="1">
      <x:c r="A103" s="9" t="str">
        <x:v>REG</x:v>
      </x:c>
      <x:c r="B103" s="9" t="str">
        <x:v>REG-UAT-01-B</x:v>
      </x:c>
      <x:c r="C103" s="9" t="str">
        <x:v>REG-REQ-01</x:v>
      </x:c>
      <x:c r="D103" s="9" t="str">
        <x:v>Boundary / exception</x:v>
      </x:c>
      <x:c r="E103" s="9" t="str">
        <x:v>Use a disposable fixture for changed data; supplied source stays immutable. Application tests require a configured environment.</x:v>
      </x:c>
      <x:c r="F103" s="9" t="str">
        <x:v>Prepare a disposable case for this rule: Duplicate restaurant-month keys and conflicting city/zone mappings are reported rather than silently summed. Re-run the applicable SQL or execute the control in the future configured application.</x:v>
      </x:c>
      <x:c r="G103" s="9" t="str">
        <x:v>Duplicate restaurant-month keys and conflicting city/zone mappings are reported rather than silently summed.</x:v>
      </x:c>
      <x:c r="H103" s="11" t="str">
        <x:v>Not executed</x:v>
      </x:c>
      <x:c r="I103" s="11" t="str"/>
      <x:c r="J103" s="11" t="str"/>
      <x:c r="K103" s="11" t="str"/>
      <x:c r="L103" s="12" t="str"/>
      <x:c r="M103" s="11" t="str"/>
      <x:c r="N103" s="11" t="str">
        <x:v>Pending</x:v>
      </x:c>
      <x:c r="O103" s="1"/>
      <x:c r="P103" s="1"/>
    </x:row>
    <x:row r="104" ht="80" customHeight="1">
      <x:c r="A104" s="9" t="str">
        <x:v>REG</x:v>
      </x:c>
      <x:c r="B104" s="9" t="str">
        <x:v>REG-UAT-01-C</x:v>
      </x:c>
      <x:c r="C104" s="9" t="str">
        <x:v>REG-REQ-01</x:v>
      </x:c>
      <x:c r="D104" s="9" t="str">
        <x:v>Business review</x:v>
      </x:c>
      <x:c r="E104" s="9" t="str">
        <x:v>Use a disposable fixture for changed data; supplied source stays immutable. Application tests require a configured environment.</x:v>
      </x:c>
      <x:c r="F104" s="9" t="str">
        <x:v>Ask the Sales Operations Manager to review the labels, scope, evidence, and recommendation against REG-REQ-01.</x:v>
      </x:c>
      <x:c r="G104" s="9" t="str">
        <x:v>Owner records Approved / Rejected / Needs clarification with a reason and supporting evidence.</x:v>
      </x:c>
      <x:c r="H104" s="11" t="str">
        <x:v>Not executed</x:v>
      </x:c>
      <x:c r="I104" s="11" t="str"/>
      <x:c r="J104" s="11" t="str"/>
      <x:c r="K104" s="11" t="str"/>
      <x:c r="L104" s="12" t="str"/>
      <x:c r="M104" s="11" t="str"/>
      <x:c r="N104" s="11" t="str">
        <x:v>Pending</x:v>
      </x:c>
      <x:c r="O104" s="1"/>
      <x:c r="P104" s="1"/>
    </x:row>
    <x:row r="105" ht="80" customHeight="1">
      <x:c r="A105" s="9" t="str">
        <x:v>REG</x:v>
      </x:c>
      <x:c r="B105" s="9" t="str">
        <x:v>REG-UAT-02-A</x:v>
      </x:c>
      <x:c r="C105" s="9" t="str">
        <x:v>REG-REQ-02</x:v>
      </x:c>
      <x:c r="D105" s="9" t="str">
        <x:v>Acceptance</x:v>
      </x:c>
      <x:c r="E105" s="9" t="str">
        <x:v>Use a disposable fixture for changed data; supplied source stays immutable. Application tests require a configured environment.</x:v>
      </x:c>
      <x:c r="F105" s="9" t="str">
        <x:v>Review requirement REG-REQ-02; load the unchanged supplied source; inspect Q02 result and independently recompute its control totals.</x:v>
      </x:c>
      <x:c r="G105" s="9" t="str">
        <x:v>Each grouping independently reconciles to portfolio sales within $0.01.</x:v>
      </x:c>
      <x:c r="H105" s="11" t="str">
        <x:v>Not executed</x:v>
      </x:c>
      <x:c r="I105" s="11" t="str"/>
      <x:c r="J105" s="11" t="str"/>
      <x:c r="K105" s="11" t="str"/>
      <x:c r="L105" s="12" t="str"/>
      <x:c r="M105" s="11" t="str"/>
      <x:c r="N105" s="11" t="str">
        <x:v>Pending</x:v>
      </x:c>
      <x:c r="O105" s="1"/>
      <x:c r="P105" s="1"/>
    </x:row>
    <x:row r="106" ht="80" customHeight="1">
      <x:c r="A106" s="9" t="str">
        <x:v>REG</x:v>
      </x:c>
      <x:c r="B106" s="9" t="str">
        <x:v>REG-UAT-02-B</x:v>
      </x:c>
      <x:c r="C106" s="9" t="str">
        <x:v>REG-REQ-02</x:v>
      </x:c>
      <x:c r="D106" s="9" t="str">
        <x:v>Boundary / exception</x:v>
      </x:c>
      <x:c r="E106" s="9" t="str">
        <x:v>Use a disposable fixture for changed data; supplied source stays immutable. Application tests require a configured environment.</x:v>
      </x:c>
      <x:c r="F106" s="9" t="str">
        <x:v>Prepare a disposable case for this rule: A restaurant has one stable zone in the supplied data; a changed mapping requires an effective-dated production design. Re-run the applicable SQL or execute the control in the future configured application.</x:v>
      </x:c>
      <x:c r="G106" s="9" t="str">
        <x:v>A restaurant has one stable zone in the supplied data; a changed mapping requires an effective-dated production design.</x:v>
      </x:c>
      <x:c r="H106" s="11" t="str">
        <x:v>Not executed</x:v>
      </x:c>
      <x:c r="I106" s="11" t="str"/>
      <x:c r="J106" s="11" t="str"/>
      <x:c r="K106" s="11" t="str"/>
      <x:c r="L106" s="12" t="str"/>
      <x:c r="M106" s="11" t="str"/>
      <x:c r="N106" s="11" t="str">
        <x:v>Pending</x:v>
      </x:c>
      <x:c r="O106" s="1"/>
      <x:c r="P106" s="1"/>
    </x:row>
    <x:row r="107" ht="80" customHeight="1">
      <x:c r="A107" s="9" t="str">
        <x:v>REG</x:v>
      </x:c>
      <x:c r="B107" s="9" t="str">
        <x:v>REG-UAT-02-C</x:v>
      </x:c>
      <x:c r="C107" s="9" t="str">
        <x:v>REG-REQ-02</x:v>
      </x:c>
      <x:c r="D107" s="9" t="str">
        <x:v>Business review</x:v>
      </x:c>
      <x:c r="E107" s="9" t="str">
        <x:v>Use a disposable fixture for changed data; supplied source stays immutable. Application tests require a configured environment.</x:v>
      </x:c>
      <x:c r="F107" s="9" t="str">
        <x:v>Ask the Sales Operations Manager to review the labels, scope, evidence, and recommendation against REG-REQ-02.</x:v>
      </x:c>
      <x:c r="G107" s="9" t="str">
        <x:v>Owner records Approved / Rejected / Needs clarification with a reason and supporting evidence.</x:v>
      </x:c>
      <x:c r="H107" s="11" t="str">
        <x:v>Not executed</x:v>
      </x:c>
      <x:c r="I107" s="11" t="str"/>
      <x:c r="J107" s="11" t="str"/>
      <x:c r="K107" s="11" t="str"/>
      <x:c r="L107" s="12" t="str"/>
      <x:c r="M107" s="11" t="str"/>
      <x:c r="N107" s="11" t="str">
        <x:v>Pending</x:v>
      </x:c>
      <x:c r="O107" s="1"/>
      <x:c r="P107" s="1"/>
    </x:row>
    <x:row r="108" ht="80" customHeight="1">
      <x:c r="A108" s="9" t="str">
        <x:v>REG</x:v>
      </x:c>
      <x:c r="B108" s="9" t="str">
        <x:v>REG-UAT-03-A</x:v>
      </x:c>
      <x:c r="C108" s="9" t="str">
        <x:v>REG-REQ-03</x:v>
      </x:c>
      <x:c r="D108" s="9" t="str">
        <x:v>Acceptance</x:v>
      </x:c>
      <x:c r="E108" s="9" t="str">
        <x:v>Use a disposable fixture for changed data; supplied source stays immutable. Application tests require a configured environment.</x:v>
      </x:c>
      <x:c r="F108" s="9" t="str">
        <x:v>Review requirement REG-REQ-03; load the unchanged supplied source; inspect Q03 result and independently recompute its control totals.</x:v>
      </x:c>
      <x:c r="G108" s="9" t="str">
        <x:v>July has no prior comparison; a missing August makes September comparison null.</x:v>
      </x:c>
      <x:c r="H108" s="11" t="str">
        <x:v>Not executed</x:v>
      </x:c>
      <x:c r="I108" s="11" t="str"/>
      <x:c r="J108" s="11" t="str"/>
      <x:c r="K108" s="11" t="str"/>
      <x:c r="L108" s="12" t="str"/>
      <x:c r="M108" s="11" t="str"/>
      <x:c r="N108" s="11" t="str">
        <x:v>Pending</x:v>
      </x:c>
      <x:c r="O108" s="1"/>
      <x:c r="P108" s="1"/>
    </x:row>
    <x:row r="109" ht="80" customHeight="1">
      <x:c r="A109" s="9" t="str">
        <x:v>REG</x:v>
      </x:c>
      <x:c r="B109" s="9" t="str">
        <x:v>REG-UAT-03-B</x:v>
      </x:c>
      <x:c r="C109" s="9" t="str">
        <x:v>REG-REQ-03</x:v>
      </x:c>
      <x:c r="D109" s="9" t="str">
        <x:v>Boundary / exception</x:v>
      </x:c>
      <x:c r="E109" s="9" t="str">
        <x:v>Use a disposable fixture for changed data; supplied source stays immutable. Application tests require a configured environment.</x:v>
      </x:c>
      <x:c r="F109" s="9" t="str">
        <x:v>Prepare a disposable case for this rule: September following July without August has null adjacent-month change. Re-run the applicable SQL or execute the control in the future configured application.</x:v>
      </x:c>
      <x:c r="G109" s="9" t="str">
        <x:v>September following July without August has null adjacent-month change.</x:v>
      </x:c>
      <x:c r="H109" s="11" t="str">
        <x:v>Not executed</x:v>
      </x:c>
      <x:c r="I109" s="11" t="str"/>
      <x:c r="J109" s="11" t="str"/>
      <x:c r="K109" s="11" t="str"/>
      <x:c r="L109" s="12" t="str"/>
      <x:c r="M109" s="11" t="str"/>
      <x:c r="N109" s="11" t="str">
        <x:v>Pending</x:v>
      </x:c>
      <x:c r="O109" s="1"/>
      <x:c r="P109" s="1"/>
    </x:row>
    <x:row r="110" ht="80" customHeight="1">
      <x:c r="A110" s="9" t="str">
        <x:v>REG</x:v>
      </x:c>
      <x:c r="B110" s="9" t="str">
        <x:v>REG-UAT-03-C</x:v>
      </x:c>
      <x:c r="C110" s="9" t="str">
        <x:v>REG-REQ-03</x:v>
      </x:c>
      <x:c r="D110" s="9" t="str">
        <x:v>Business review</x:v>
      </x:c>
      <x:c r="E110" s="9" t="str">
        <x:v>Use a disposable fixture for changed data; supplied source stays immutable. Application tests require a configured environment.</x:v>
      </x:c>
      <x:c r="F110" s="9" t="str">
        <x:v>Ask the Sales Operations Manager to review the labels, scope, evidence, and recommendation against REG-REQ-03.</x:v>
      </x:c>
      <x:c r="G110" s="9" t="str">
        <x:v>Owner records Approved / Rejected / Needs clarification with a reason and supporting evidence.</x:v>
      </x:c>
      <x:c r="H110" s="11" t="str">
        <x:v>Not executed</x:v>
      </x:c>
      <x:c r="I110" s="11" t="str"/>
      <x:c r="J110" s="11" t="str"/>
      <x:c r="K110" s="11" t="str"/>
      <x:c r="L110" s="12" t="str"/>
      <x:c r="M110" s="11" t="str"/>
      <x:c r="N110" s="11" t="str">
        <x:v>Pending</x:v>
      </x:c>
      <x:c r="O110" s="1"/>
      <x:c r="P110" s="1"/>
    </x:row>
    <x:row r="111" ht="80" customHeight="1">
      <x:c r="A111" s="9" t="str">
        <x:v>REG</x:v>
      </x:c>
      <x:c r="B111" s="9" t="str">
        <x:v>REG-UAT-04-A</x:v>
      </x:c>
      <x:c r="C111" s="9" t="str">
        <x:v>REG-REQ-04</x:v>
      </x:c>
      <x:c r="D111" s="9" t="str">
        <x:v>Acceptance</x:v>
      </x:c>
      <x:c r="E111" s="9" t="str">
        <x:v>Use a disposable fixture for changed data; supplied source stays immutable. Application tests require a configured environment.</x:v>
      </x:c>
      <x:c r="F111" s="9" t="str">
        <x:v>Review requirement REG-REQ-04; load the unchanged supplied source; inspect Q04 result and independently recompute its control totals.</x:v>
      </x:c>
      <x:c r="G111" s="9" t="str">
        <x:v>Ranks use the full selected period and ties resolve deterministically.</x:v>
      </x:c>
      <x:c r="H111" s="11" t="str">
        <x:v>Not executed</x:v>
      </x:c>
      <x:c r="I111" s="11" t="str"/>
      <x:c r="J111" s="11" t="str"/>
      <x:c r="K111" s="11" t="str"/>
      <x:c r="L111" s="12" t="str"/>
      <x:c r="M111" s="11" t="str"/>
      <x:c r="N111" s="11" t="str">
        <x:v>Pending</x:v>
      </x:c>
      <x:c r="O111" s="1"/>
      <x:c r="P111" s="1"/>
    </x:row>
    <x:row r="112" ht="80" customHeight="1">
      <x:c r="A112" s="9" t="str">
        <x:v>REG</x:v>
      </x:c>
      <x:c r="B112" s="9" t="str">
        <x:v>REG-UAT-04-B</x:v>
      </x:c>
      <x:c r="C112" s="9" t="str">
        <x:v>REG-REQ-04</x:v>
      </x:c>
      <x:c r="D112" s="9" t="str">
        <x:v>Boundary / exception</x:v>
      </x:c>
      <x:c r="E112" s="9" t="str">
        <x:v>Use a disposable fixture for changed data; supplied source stays immutable. Application tests require a configured environment.</x:v>
      </x:c>
      <x:c r="F112" s="9" t="str">
        <x:v>Prepare a disposable case for this rule: Tied sales use restaurant_id ordering; compare the same reporting population. Re-run the applicable SQL or execute the control in the future configured application.</x:v>
      </x:c>
      <x:c r="G112" s="9" t="str">
        <x:v>Tied sales use restaurant_id ordering; compare the same reporting population.</x:v>
      </x:c>
      <x:c r="H112" s="11" t="str">
        <x:v>Not executed</x:v>
      </x:c>
      <x:c r="I112" s="11" t="str"/>
      <x:c r="J112" s="11" t="str"/>
      <x:c r="K112" s="11" t="str"/>
      <x:c r="L112" s="12" t="str"/>
      <x:c r="M112" s="11" t="str"/>
      <x:c r="N112" s="11" t="str">
        <x:v>Pending</x:v>
      </x:c>
      <x:c r="O112" s="1"/>
      <x:c r="P112" s="1"/>
    </x:row>
    <x:row r="113" ht="80" customHeight="1">
      <x:c r="A113" s="9" t="str">
        <x:v>REG</x:v>
      </x:c>
      <x:c r="B113" s="9" t="str">
        <x:v>REG-UAT-04-C</x:v>
      </x:c>
      <x:c r="C113" s="9" t="str">
        <x:v>REG-REQ-04</x:v>
      </x:c>
      <x:c r="D113" s="9" t="str">
        <x:v>Business review</x:v>
      </x:c>
      <x:c r="E113" s="9" t="str">
        <x:v>Use a disposable fixture for changed data; supplied source stays immutable. Application tests require a configured environment.</x:v>
      </x:c>
      <x:c r="F113" s="9" t="str">
        <x:v>Ask the Sales Operations Manager to review the labels, scope, evidence, and recommendation against REG-REQ-04.</x:v>
      </x:c>
      <x:c r="G113" s="9" t="str">
        <x:v>Owner records Approved / Rejected / Needs clarification with a reason and supporting evidence.</x:v>
      </x:c>
      <x:c r="H113" s="11" t="str">
        <x:v>Not executed</x:v>
      </x:c>
      <x:c r="I113" s="11" t="str"/>
      <x:c r="J113" s="11" t="str"/>
      <x:c r="K113" s="11" t="str"/>
      <x:c r="L113" s="12" t="str"/>
      <x:c r="M113" s="11" t="str"/>
      <x:c r="N113" s="11" t="str">
        <x:v>Pending</x:v>
      </x:c>
      <x:c r="O113" s="1"/>
      <x:c r="P113" s="1"/>
    </x:row>
    <x:row r="114" ht="80" customHeight="1">
      <x:c r="A114" s="9" t="str">
        <x:v>REG</x:v>
      </x:c>
      <x:c r="B114" s="9" t="str">
        <x:v>REG-UAT-05-A</x:v>
      </x:c>
      <x:c r="C114" s="9" t="str">
        <x:v>REG-REQ-05</x:v>
      </x:c>
      <x:c r="D114" s="9" t="str">
        <x:v>Acceptance</x:v>
      </x:c>
      <x:c r="E114" s="9" t="str">
        <x:v>Use a disposable fixture for changed data; supplied source stays immutable. Application tests require a configured environment.</x:v>
      </x:c>
      <x:c r="F114" s="9" t="str">
        <x:v>Review requirement REG-REQ-05; load the unchanged supplied source; inspect Q04 result and independently recompute its control totals.</x:v>
      </x:c>
      <x:c r="G114" s="9" t="str">
        <x:v>Restaurants with fewer than the extract month count are listed for investigation.</x:v>
      </x:c>
      <x:c r="H114" s="11" t="str">
        <x:v>Not executed</x:v>
      </x:c>
      <x:c r="I114" s="11" t="str"/>
      <x:c r="J114" s="11" t="str"/>
      <x:c r="K114" s="11" t="str"/>
      <x:c r="L114" s="12" t="str"/>
      <x:c r="M114" s="11" t="str"/>
      <x:c r="N114" s="11" t="str">
        <x:v>Pending</x:v>
      </x:c>
      <x:c r="O114" s="1"/>
      <x:c r="P114" s="1"/>
    </x:row>
    <x:row r="115" ht="80" customHeight="1">
      <x:c r="A115" s="9" t="str">
        <x:v>REG</x:v>
      </x:c>
      <x:c r="B115" s="9" t="str">
        <x:v>REG-UAT-05-B</x:v>
      </x:c>
      <x:c r="C115" s="9" t="str">
        <x:v>REG-REQ-05</x:v>
      </x:c>
      <x:c r="D115" s="9" t="str">
        <x:v>Boundary / exception</x:v>
      </x:c>
      <x:c r="E115" s="9" t="str">
        <x:v>Use a disposable fixture for changed data; supplied source stays immutable. Application tests require a configured environment.</x:v>
      </x:c>
      <x:c r="F115" s="9" t="str">
        <x:v>Prepare a disposable case for this rule: Absent restaurant-months are gaps, not zeros; obtain closure/operating-calendar context. Re-run the applicable SQL or execute the control in the future configured application.</x:v>
      </x:c>
      <x:c r="G115" s="9" t="str">
        <x:v>Absent restaurant-months are gaps, not zeros; obtain closure/operating-calendar context.</x:v>
      </x:c>
      <x:c r="H115" s="11" t="str">
        <x:v>Not executed</x:v>
      </x:c>
      <x:c r="I115" s="11" t="str"/>
      <x:c r="J115" s="11" t="str"/>
      <x:c r="K115" s="11" t="str"/>
      <x:c r="L115" s="12" t="str"/>
      <x:c r="M115" s="11" t="str"/>
      <x:c r="N115" s="11" t="str">
        <x:v>Pending</x:v>
      </x:c>
      <x:c r="O115" s="1"/>
      <x:c r="P115" s="1"/>
    </x:row>
    <x:row r="116" ht="80" customHeight="1">
      <x:c r="A116" s="9" t="str">
        <x:v>REG</x:v>
      </x:c>
      <x:c r="B116" s="9" t="str">
        <x:v>REG-UAT-05-C</x:v>
      </x:c>
      <x:c r="C116" s="9" t="str">
        <x:v>REG-REQ-05</x:v>
      </x:c>
      <x:c r="D116" s="9" t="str">
        <x:v>Business review</x:v>
      </x:c>
      <x:c r="E116" s="9" t="str">
        <x:v>Use a disposable fixture for changed data; supplied source stays immutable. Application tests require a configured environment.</x:v>
      </x:c>
      <x:c r="F116" s="9" t="str">
        <x:v>Ask the Sales Operations Manager to review the labels, scope, evidence, and recommendation against REG-REQ-05.</x:v>
      </x:c>
      <x:c r="G116" s="9" t="str">
        <x:v>Owner records Approved / Rejected / Needs clarification with a reason and supporting evidence.</x:v>
      </x:c>
      <x:c r="H116" s="11" t="str">
        <x:v>Not executed</x:v>
      </x:c>
      <x:c r="I116" s="11" t="str"/>
      <x:c r="J116" s="11" t="str"/>
      <x:c r="K116" s="11" t="str"/>
      <x:c r="L116" s="12" t="str"/>
      <x:c r="M116" s="11" t="str"/>
      <x:c r="N116" s="11" t="str">
        <x:v>Pending</x:v>
      </x:c>
      <x:c r="O116" s="1"/>
      <x:c r="P116" s="1"/>
    </x:row>
    <x:row r="117" ht="80" customHeight="1">
      <x:c r="A117" s="9" t="str">
        <x:v>REG</x:v>
      </x:c>
      <x:c r="B117" s="9" t="str">
        <x:v>REG-UAT-06-A</x:v>
      </x:c>
      <x:c r="C117" s="9" t="str">
        <x:v>REG-REQ-06</x:v>
      </x:c>
      <x:c r="D117" s="9" t="str">
        <x:v>Acceptance</x:v>
      </x:c>
      <x:c r="E117" s="9" t="str">
        <x:v>Use a disposable fixture for changed data; supplied source stays immutable. Application tests require a configured environment.</x:v>
      </x:c>
      <x:c r="F117" s="9" t="str">
        <x:v>Review requirement REG-REQ-06; load the unchanged supplied source; inspect Q02 result and independently recompute its control totals.</x:v>
      </x:c>
      <x:c r="G117" s="9" t="str">
        <x:v>All current metrics refer to sales; no YoY or profitability claim is presented.</x:v>
      </x:c>
      <x:c r="H117" s="11" t="str">
        <x:v>Not executed</x:v>
      </x:c>
      <x:c r="I117" s="11" t="str"/>
      <x:c r="J117" s="11" t="str"/>
      <x:c r="K117" s="11" t="str"/>
      <x:c r="L117" s="12" t="str"/>
      <x:c r="M117" s="11" t="str"/>
      <x:c r="N117" s="11" t="str">
        <x:v>Pending</x:v>
      </x:c>
      <x:c r="O117" s="1"/>
      <x:c r="P117" s="1"/>
    </x:row>
    <x:row r="118" ht="80" customHeight="1">
      <x:c r="A118" s="9" t="str">
        <x:v>REG</x:v>
      </x:c>
      <x:c r="B118" s="9" t="str">
        <x:v>REG-UAT-06-B</x:v>
      </x:c>
      <x:c r="C118" s="9" t="str">
        <x:v>REG-REQ-06</x:v>
      </x:c>
      <x:c r="D118" s="9" t="str">
        <x:v>Boundary / exception</x:v>
      </x:c>
      <x:c r="E118" s="9" t="str">
        <x:v>Use a disposable fixture for changed data; supplied source stays immutable. Application tests require a configured environment.</x:v>
      </x:c>
      <x:c r="F118" s="9" t="str">
        <x:v>Prepare a disposable case for this rule: No targets, costs, reps, or prior-year data exist; exclude unsupported measures. Re-run the applicable SQL or execute the control in the future configured application.</x:v>
      </x:c>
      <x:c r="G118" s="9" t="str">
        <x:v>No targets, costs, reps, or prior-year data exist; exclude unsupported measures.</x:v>
      </x:c>
      <x:c r="H118" s="11" t="str">
        <x:v>Not executed</x:v>
      </x:c>
      <x:c r="I118" s="11" t="str"/>
      <x:c r="J118" s="11" t="str"/>
      <x:c r="K118" s="11" t="str"/>
      <x:c r="L118" s="12" t="str"/>
      <x:c r="M118" s="11" t="str"/>
      <x:c r="N118" s="11" t="str">
        <x:v>Pending</x:v>
      </x:c>
      <x:c r="O118" s="1"/>
      <x:c r="P118" s="1"/>
    </x:row>
    <x:row r="119" ht="80" customHeight="1">
      <x:c r="A119" s="9" t="str">
        <x:v>REG</x:v>
      </x:c>
      <x:c r="B119" s="9" t="str">
        <x:v>REG-UAT-06-C</x:v>
      </x:c>
      <x:c r="C119" s="9" t="str">
        <x:v>REG-REQ-06</x:v>
      </x:c>
      <x:c r="D119" s="9" t="str">
        <x:v>Business review</x:v>
      </x:c>
      <x:c r="E119" s="9" t="str">
        <x:v>Use a disposable fixture for changed data; supplied source stays immutable. Application tests require a configured environment.</x:v>
      </x:c>
      <x:c r="F119" s="9" t="str">
        <x:v>Ask the Sales Operations Manager to review the labels, scope, evidence, and recommendation against REG-REQ-06.</x:v>
      </x:c>
      <x:c r="G119" s="9" t="str">
        <x:v>Owner records Approved / Rejected / Needs clarification with a reason and supporting evidence.</x:v>
      </x:c>
      <x:c r="H119" s="11" t="str">
        <x:v>Not executed</x:v>
      </x:c>
      <x:c r="I119" s="11" t="str"/>
      <x:c r="J119" s="11" t="str"/>
      <x:c r="K119" s="11" t="str"/>
      <x:c r="L119" s="12" t="str"/>
      <x:c r="M119" s="11" t="str"/>
      <x:c r="N119" s="11" t="str">
        <x:v>Pending</x:v>
      </x:c>
      <x:c r="O119" s="1"/>
      <x:c r="P119" s="1"/>
    </x:row>
    <x:row r="120" ht="80" customHeight="1">
      <x:c r="A120" s="9" t="str">
        <x:v>REG</x:v>
      </x:c>
      <x:c r="B120" s="9" t="str">
        <x:v>REG-UAT-07-A</x:v>
      </x:c>
      <x:c r="C120" s="9" t="str">
        <x:v>REG-REQ-07</x:v>
      </x:c>
      <x:c r="D120" s="9" t="str">
        <x:v>Acceptance</x:v>
      </x:c>
      <x:c r="E120" s="9" t="str">
        <x:v>Use a disposable fixture for changed data; supplied source stays immutable. Application tests require a configured environment.</x:v>
      </x:c>
      <x:c r="F120" s="9" t="str">
        <x:v>Review requirement REG-REQ-07; load the unchanged supplied source; inspect the proposed control and execute it in a future configured application.</x:v>
      </x:c>
      <x:c r="G120" s="9" t="str">
        <x:v>Design includes owner, reason, next action, due date, and review evidence.</x:v>
      </x:c>
      <x:c r="H120" s="11" t="str">
        <x:v>Not executed</x:v>
      </x:c>
      <x:c r="I120" s="11" t="str"/>
      <x:c r="J120" s="11" t="str"/>
      <x:c r="K120" s="11" t="str"/>
      <x:c r="L120" s="12" t="str"/>
      <x:c r="M120" s="11" t="str"/>
      <x:c r="N120" s="11" t="str">
        <x:v>Pending</x:v>
      </x:c>
      <x:c r="O120" s="1"/>
      <x:c r="P120" s="1"/>
    </x:row>
    <x:row r="121" ht="80" customHeight="1">
      <x:c r="A121" s="9" t="str">
        <x:v>REG</x:v>
      </x:c>
      <x:c r="B121" s="9" t="str">
        <x:v>REG-UAT-07-B</x:v>
      </x:c>
      <x:c r="C121" s="9" t="str">
        <x:v>REG-REQ-07</x:v>
      </x:c>
      <x:c r="D121" s="9" t="str">
        <x:v>Boundary / exception</x:v>
      </x:c>
      <x:c r="E121" s="9" t="str">
        <x:v>Use a disposable fixture for changed data; supplied source stays immutable. Application tests require a configured environment.</x:v>
      </x:c>
      <x:c r="F121" s="9" t="str">
        <x:v>Prepare a disposable case for this rule: A manager can reject a suspected cause and record a context request; retain the evidence and decision. Re-run the applicable SQL or execute the control in the future configured application.</x:v>
      </x:c>
      <x:c r="G121" s="9" t="str">
        <x:v>A manager can reject a suspected cause and record a context request; retain the evidence and decision.</x:v>
      </x:c>
      <x:c r="H121" s="11" t="str">
        <x:v>Not executed</x:v>
      </x:c>
      <x:c r="I121" s="11" t="str"/>
      <x:c r="J121" s="11" t="str"/>
      <x:c r="K121" s="11" t="str"/>
      <x:c r="L121" s="12" t="str"/>
      <x:c r="M121" s="11" t="str"/>
      <x:c r="N121" s="11" t="str">
        <x:v>Pending</x:v>
      </x:c>
      <x:c r="O121" s="1"/>
      <x:c r="P121" s="1"/>
    </x:row>
    <x:row r="122" ht="80" customHeight="1">
      <x:c r="A122" s="9" t="str">
        <x:v>REG</x:v>
      </x:c>
      <x:c r="B122" s="9" t="str">
        <x:v>REG-UAT-07-C</x:v>
      </x:c>
      <x:c r="C122" s="9" t="str">
        <x:v>REG-REQ-07</x:v>
      </x:c>
      <x:c r="D122" s="9" t="str">
        <x:v>Business review</x:v>
      </x:c>
      <x:c r="E122" s="9" t="str">
        <x:v>Use a disposable fixture for changed data; supplied source stays immutable. Application tests require a configured environment.</x:v>
      </x:c>
      <x:c r="F122" s="9" t="str">
        <x:v>Ask the Sales Operations Manager to review the labels, scope, evidence, and recommendation against REG-REQ-07.</x:v>
      </x:c>
      <x:c r="G122" s="9" t="str">
        <x:v>Owner records Approved / Rejected / Needs clarification with a reason and supporting evidence.</x:v>
      </x:c>
      <x:c r="H122" s="11" t="str">
        <x:v>Not executed</x:v>
      </x:c>
      <x:c r="I122" s="11" t="str"/>
      <x:c r="J122" s="11" t="str"/>
      <x:c r="K122" s="11" t="str"/>
      <x:c r="L122" s="12" t="str"/>
      <x:c r="M122" s="11" t="str"/>
      <x:c r="N122" s="11" t="str">
        <x:v>Pending</x:v>
      </x:c>
      <x:c r="O122" s="1"/>
      <x:c r="P122" s="1"/>
    </x:row>
    <x:row r="123" ht="80" customHeight="1">
      <x:c r="A123" s="9" t="str">
        <x:v>REG</x:v>
      </x:c>
      <x:c r="B123" s="9" t="str">
        <x:v>REG-UAT-08-A</x:v>
      </x:c>
      <x:c r="C123" s="9" t="str">
        <x:v>REG-REQ-08</x:v>
      </x:c>
      <x:c r="D123" s="9" t="str">
        <x:v>Acceptance</x:v>
      </x:c>
      <x:c r="E123" s="9" t="str">
        <x:v>Use a disposable fixture for changed data; supplied source stays immutable. Application tests require a configured environment.</x:v>
      </x:c>
      <x:c r="F123" s="9" t="str">
        <x:v>Review requirement REG-REQ-08; load the unchanged supplied source; inspect the proposed control and execute it in a future configured application.</x:v>
      </x:c>
      <x:c r="G123" s="9" t="str">
        <x:v>Future role tests limit managers to assigned zones; current local CSV has no RLS.</x:v>
      </x:c>
      <x:c r="H123" s="11" t="str">
        <x:v>Not executed</x:v>
      </x:c>
      <x:c r="I123" s="11" t="str"/>
      <x:c r="J123" s="11" t="str"/>
      <x:c r="K123" s="11" t="str"/>
      <x:c r="L123" s="12" t="str"/>
      <x:c r="M123" s="11" t="str"/>
      <x:c r="N123" s="11" t="str">
        <x:v>Pending</x:v>
      </x:c>
      <x:c r="O123" s="1"/>
      <x:c r="P123" s="1"/>
    </x:row>
    <x:row r="124" ht="80" customHeight="1">
      <x:c r="A124" s="9" t="str">
        <x:v>REG</x:v>
      </x:c>
      <x:c r="B124" s="9" t="str">
        <x:v>REG-UAT-08-B</x:v>
      </x:c>
      <x:c r="C124" s="9" t="str">
        <x:v>REG-REQ-08</x:v>
      </x:c>
      <x:c r="D124" s="9" t="str">
        <x:v>Boundary / exception</x:v>
      </x:c>
      <x:c r="E124" s="9" t="str">
        <x:v>Use a disposable fixture for changed data; supplied source stays immutable. Application tests require a configured environment.</x:v>
      </x:c>
      <x:c r="F124" s="9" t="str">
        <x:v>Prepare a disposable case for this rule: A manager outside the assigned zone must be denied in a future role test. Re-run the applicable SQL or execute the control in the future configured application.</x:v>
      </x:c>
      <x:c r="G124" s="9" t="str">
        <x:v>A manager outside the assigned zone must be denied in a future role test.</x:v>
      </x:c>
      <x:c r="H124" s="11" t="str">
        <x:v>Not executed</x:v>
      </x:c>
      <x:c r="I124" s="11" t="str"/>
      <x:c r="J124" s="11" t="str"/>
      <x:c r="K124" s="11" t="str"/>
      <x:c r="L124" s="12" t="str"/>
      <x:c r="M124" s="11" t="str"/>
      <x:c r="N124" s="11" t="str">
        <x:v>Pending</x:v>
      </x:c>
      <x:c r="O124" s="1"/>
      <x:c r="P124" s="1"/>
    </x:row>
    <x:row r="125" ht="80" customHeight="1">
      <x:c r="A125" s="9" t="str">
        <x:v>REG</x:v>
      </x:c>
      <x:c r="B125" s="9" t="str">
        <x:v>REG-UAT-08-C</x:v>
      </x:c>
      <x:c r="C125" s="9" t="str">
        <x:v>REG-REQ-08</x:v>
      </x:c>
      <x:c r="D125" s="9" t="str">
        <x:v>Business review</x:v>
      </x:c>
      <x:c r="E125" s="9" t="str">
        <x:v>Use a disposable fixture for changed data; supplied source stays immutable. Application tests require a configured environment.</x:v>
      </x:c>
      <x:c r="F125" s="9" t="str">
        <x:v>Ask the Sales Operations Manager to review the labels, scope, evidence, and recommendation against REG-REQ-08.</x:v>
      </x:c>
      <x:c r="G125" s="9" t="str">
        <x:v>Owner records Approved / Rejected / Needs clarification with a reason and supporting evidence.</x:v>
      </x:c>
      <x:c r="H125" s="11" t="str">
        <x:v>Not executed</x:v>
      </x:c>
      <x:c r="I125" s="11" t="str"/>
      <x:c r="J125" s="11" t="str"/>
      <x:c r="K125" s="11" t="str"/>
      <x:c r="L125" s="12" t="str"/>
      <x:c r="M125" s="11" t="str"/>
      <x:c r="N125" s="11" t="str">
        <x:v>Pending</x:v>
      </x:c>
      <x:c r="O125" s="1"/>
      <x:c r="P125" s="1"/>
    </x:row>
    <x:row r="126" ht="80" customHeight="1">
      <x:c r="A126" s="9" t="str">
        <x:v>CRM</x:v>
      </x:c>
      <x:c r="B126" s="9" t="str">
        <x:v>CRM-UAT-01-A</x:v>
      </x:c>
      <x:c r="C126" s="9" t="str">
        <x:v>CRM-REQ-01</x:v>
      </x:c>
      <x:c r="D126" s="9" t="str">
        <x:v>Acceptance</x:v>
      </x:c>
      <x:c r="E126" s="9" t="str">
        <x:v>Use a disposable fixture for changed data; supplied source stays immutable. Application tests require a configured environment.</x:v>
      </x:c>
      <x:c r="F126" s="9" t="str">
        <x:v>Review requirement CRM-REQ-01; load the unchanged supplied source; inspect Q01 result and independently recompute its control totals.</x:v>
      </x:c>
      <x:c r="G126" s="9" t="str">
        <x:v>Duplicate IDs and probability outside 0-1 are detected; supplied records are profiled.</x:v>
      </x:c>
      <x:c r="H126" s="11" t="str">
        <x:v>Not executed</x:v>
      </x:c>
      <x:c r="I126" s="11" t="str"/>
      <x:c r="J126" s="11" t="str"/>
      <x:c r="K126" s="11" t="str"/>
      <x:c r="L126" s="12" t="str"/>
      <x:c r="M126" s="11" t="str"/>
      <x:c r="N126" s="11" t="str">
        <x:v>Pending</x:v>
      </x:c>
      <x:c r="O126" s="1"/>
      <x:c r="P126" s="1"/>
    </x:row>
    <x:row r="127" ht="80" customHeight="1">
      <x:c r="A127" s="9" t="str">
        <x:v>CRM</x:v>
      </x:c>
      <x:c r="B127" s="9" t="str">
        <x:v>CRM-UAT-01-B</x:v>
      </x:c>
      <x:c r="C127" s="9" t="str">
        <x:v>CRM-REQ-01</x:v>
      </x:c>
      <x:c r="D127" s="9" t="str">
        <x:v>Boundary / exception</x:v>
      </x:c>
      <x:c r="E127" s="9" t="str">
        <x:v>Use a disposable fixture for changed data; supplied source stays immutable. Application tests require a configured environment.</x:v>
      </x:c>
      <x:c r="F127" s="9" t="str">
        <x:v>Prepare a disposable case for this rule: Duplicate opportunity IDs, unknown stages, and invalid probabilities require correction. Re-run the applicable SQL or execute the control in the future configured application.</x:v>
      </x:c>
      <x:c r="G127" s="9" t="str">
        <x:v>Duplicate opportunity IDs, unknown stages, and invalid probabilities require correction.</x:v>
      </x:c>
      <x:c r="H127" s="11" t="str">
        <x:v>Not executed</x:v>
      </x:c>
      <x:c r="I127" s="11" t="str"/>
      <x:c r="J127" s="11" t="str"/>
      <x:c r="K127" s="11" t="str"/>
      <x:c r="L127" s="12" t="str"/>
      <x:c r="M127" s="11" t="str"/>
      <x:c r="N127" s="11" t="str">
        <x:v>Pending</x:v>
      </x:c>
      <x:c r="O127" s="1"/>
      <x:c r="P127" s="1"/>
    </x:row>
    <x:row r="128" ht="80" customHeight="1">
      <x:c r="A128" s="9" t="str">
        <x:v>CRM</x:v>
      </x:c>
      <x:c r="B128" s="9" t="str">
        <x:v>CRM-UAT-01-C</x:v>
      </x:c>
      <x:c r="C128" s="9" t="str">
        <x:v>CRM-REQ-01</x:v>
      </x:c>
      <x:c r="D128" s="9" t="str">
        <x:v>Business review</x:v>
      </x:c>
      <x:c r="E128" s="9" t="str">
        <x:v>Use a disposable fixture for changed data; supplied source stays immutable. Application tests require a configured environment.</x:v>
      </x:c>
      <x:c r="F128" s="9" t="str">
        <x:v>Ask the Sales Operations Manager to review the labels, scope, evidence, and recommendation against CRM-REQ-01.</x:v>
      </x:c>
      <x:c r="G128" s="9" t="str">
        <x:v>Owner records Approved / Rejected / Needs clarification with a reason and supporting evidence.</x:v>
      </x:c>
      <x:c r="H128" s="11" t="str">
        <x:v>Not executed</x:v>
      </x:c>
      <x:c r="I128" s="11" t="str"/>
      <x:c r="J128" s="11" t="str"/>
      <x:c r="K128" s="11" t="str"/>
      <x:c r="L128" s="12" t="str"/>
      <x:c r="M128" s="11" t="str"/>
      <x:c r="N128" s="11" t="str">
        <x:v>Pending</x:v>
      </x:c>
      <x:c r="O128" s="1"/>
      <x:c r="P128" s="1"/>
    </x:row>
    <x:row r="129" ht="80" customHeight="1">
      <x:c r="A129" s="9" t="str">
        <x:v>CRM</x:v>
      </x:c>
      <x:c r="B129" s="9" t="str">
        <x:v>CRM-UAT-02-A</x:v>
      </x:c>
      <x:c r="C129" s="9" t="str">
        <x:v>CRM-REQ-02</x:v>
      </x:c>
      <x:c r="D129" s="9" t="str">
        <x:v>Acceptance</x:v>
      </x:c>
      <x:c r="E129" s="9" t="str">
        <x:v>Use a disposable fixture for changed data; supplied source stays immutable. Application tests require a configured environment.</x:v>
      </x:c>
      <x:c r="F129" s="9" t="str">
        <x:v>Review requirement CRM-REQ-02; load the unchanged supplied source; inspect Q02 result and independently recompute its control totals.</x:v>
      </x:c>
      <x:c r="G129" s="9" t="str">
        <x:v>Open + won + lost equals all-record amount within $0.01.</x:v>
      </x:c>
      <x:c r="H129" s="11" t="str">
        <x:v>Not executed</x:v>
      </x:c>
      <x:c r="I129" s="11" t="str"/>
      <x:c r="J129" s="11" t="str"/>
      <x:c r="K129" s="11" t="str"/>
      <x:c r="L129" s="12" t="str"/>
      <x:c r="M129" s="11" t="str"/>
      <x:c r="N129" s="11" t="str">
        <x:v>Pending</x:v>
      </x:c>
      <x:c r="O129" s="1"/>
      <x:c r="P129" s="1"/>
    </x:row>
    <x:row r="130" ht="80" customHeight="1">
      <x:c r="A130" s="9" t="str">
        <x:v>CRM</x:v>
      </x:c>
      <x:c r="B130" s="9" t="str">
        <x:v>CRM-UAT-02-B</x:v>
      </x:c>
      <x:c r="C130" s="9" t="str">
        <x:v>CRM-REQ-02</x:v>
      </x:c>
      <x:c r="D130" s="9" t="str">
        <x:v>Boundary / exception</x:v>
      </x:c>
      <x:c r="E130" s="9" t="str">
        <x:v>Use a disposable fixture for changed data; supplied source stays immutable. Application tests require a configured environment.</x:v>
      </x:c>
      <x:c r="F130" s="9" t="str">
        <x:v>Prepare a disposable case for this rule: Closed won and closed lost are excluded from open totals even if amounts are positive. Re-run the applicable SQL or execute the control in the future configured application.</x:v>
      </x:c>
      <x:c r="G130" s="9" t="str">
        <x:v>Closed won and closed lost are excluded from open totals even if amounts are positive.</x:v>
      </x:c>
      <x:c r="H130" s="11" t="str">
        <x:v>Not executed</x:v>
      </x:c>
      <x:c r="I130" s="11" t="str"/>
      <x:c r="J130" s="11" t="str"/>
      <x:c r="K130" s="11" t="str"/>
      <x:c r="L130" s="12" t="str"/>
      <x:c r="M130" s="11" t="str"/>
      <x:c r="N130" s="11" t="str">
        <x:v>Pending</x:v>
      </x:c>
      <x:c r="O130" s="1"/>
      <x:c r="P130" s="1"/>
    </x:row>
    <x:row r="131" ht="80" customHeight="1">
      <x:c r="A131" s="9" t="str">
        <x:v>CRM</x:v>
      </x:c>
      <x:c r="B131" s="9" t="str">
        <x:v>CRM-UAT-02-C</x:v>
      </x:c>
      <x:c r="C131" s="9" t="str">
        <x:v>CRM-REQ-02</x:v>
      </x:c>
      <x:c r="D131" s="9" t="str">
        <x:v>Business review</x:v>
      </x:c>
      <x:c r="E131" s="9" t="str">
        <x:v>Use a disposable fixture for changed data; supplied source stays immutable. Application tests require a configured environment.</x:v>
      </x:c>
      <x:c r="F131" s="9" t="str">
        <x:v>Ask the Sales Operations Manager to review the labels, scope, evidence, and recommendation against CRM-REQ-02.</x:v>
      </x:c>
      <x:c r="G131" s="9" t="str">
        <x:v>Owner records Approved / Rejected / Needs clarification with a reason and supporting evidence.</x:v>
      </x:c>
      <x:c r="H131" s="11" t="str">
        <x:v>Not executed</x:v>
      </x:c>
      <x:c r="I131" s="11" t="str"/>
      <x:c r="J131" s="11" t="str"/>
      <x:c r="K131" s="11" t="str"/>
      <x:c r="L131" s="12" t="str"/>
      <x:c r="M131" s="11" t="str"/>
      <x:c r="N131" s="11" t="str">
        <x:v>Pending</x:v>
      </x:c>
      <x:c r="O131" s="1"/>
      <x:c r="P131" s="1"/>
    </x:row>
    <x:row r="132" ht="80" customHeight="1">
      <x:c r="A132" s="9" t="str">
        <x:v>CRM</x:v>
      </x:c>
      <x:c r="B132" s="9" t="str">
        <x:v>CRM-UAT-03-A</x:v>
      </x:c>
      <x:c r="C132" s="9" t="str">
        <x:v>CRM-REQ-03</x:v>
      </x:c>
      <x:c r="D132" s="9" t="str">
        <x:v>Acceptance</x:v>
      </x:c>
      <x:c r="E132" s="9" t="str">
        <x:v>Use a disposable fixture for changed data; supplied source stays immutable. Application tests require a configured environment.</x:v>
      </x:c>
      <x:c r="F132" s="9" t="str">
        <x:v>Review requirement CRM-REQ-03; load the unchanged supplied source; inspect Q02 result and independently recompute its control totals.</x:v>
      </x:c>
      <x:c r="G132" s="9" t="str">
        <x:v>Fixed unequal-amount fixture matches sum of products; closed values are excluded.</x:v>
      </x:c>
      <x:c r="H132" s="11" t="str">
        <x:v>Not executed</x:v>
      </x:c>
      <x:c r="I132" s="11" t="str"/>
      <x:c r="J132" s="11" t="str"/>
      <x:c r="K132" s="11" t="str"/>
      <x:c r="L132" s="12" t="str"/>
      <x:c r="M132" s="11" t="str"/>
      <x:c r="N132" s="11" t="str">
        <x:v>Pending</x:v>
      </x:c>
      <x:c r="O132" s="1"/>
      <x:c r="P132" s="1"/>
    </x:row>
    <x:row r="133" ht="80" customHeight="1">
      <x:c r="A133" s="9" t="str">
        <x:v>CRM</x:v>
      </x:c>
      <x:c r="B133" s="9" t="str">
        <x:v>CRM-UAT-03-B</x:v>
      </x:c>
      <x:c r="C133" s="9" t="str">
        <x:v>CRM-REQ-03</x:v>
      </x:c>
      <x:c r="D133" s="9" t="str">
        <x:v>Boundary / exception</x:v>
      </x:c>
      <x:c r="E133" s="9" t="str">
        <x:v>Use a disposable fixture for changed data; supplied source stays immutable. Application tests require a configured environment.</x:v>
      </x:c>
      <x:c r="F133" s="9" t="str">
        <x:v>Prepare a disposable case for this rule: Use sum(amount * probability), not total amount multiplied by average probability. Re-run the applicable SQL or execute the control in the future configured application.</x:v>
      </x:c>
      <x:c r="G133" s="9" t="str">
        <x:v>Use sum(amount * probability), not total amount multiplied by average probability.</x:v>
      </x:c>
      <x:c r="H133" s="11" t="str">
        <x:v>Not executed</x:v>
      </x:c>
      <x:c r="I133" s="11" t="str"/>
      <x:c r="J133" s="11" t="str"/>
      <x:c r="K133" s="11" t="str"/>
      <x:c r="L133" s="12" t="str"/>
      <x:c r="M133" s="11" t="str"/>
      <x:c r="N133" s="11" t="str">
        <x:v>Pending</x:v>
      </x:c>
      <x:c r="O133" s="1"/>
      <x:c r="P133" s="1"/>
    </x:row>
    <x:row r="134" ht="80" customHeight="1">
      <x:c r="A134" s="9" t="str">
        <x:v>CRM</x:v>
      </x:c>
      <x:c r="B134" s="9" t="str">
        <x:v>CRM-UAT-03-C</x:v>
      </x:c>
      <x:c r="C134" s="9" t="str">
        <x:v>CRM-REQ-03</x:v>
      </x:c>
      <x:c r="D134" s="9" t="str">
        <x:v>Business review</x:v>
      </x:c>
      <x:c r="E134" s="9" t="str">
        <x:v>Use a disposable fixture for changed data; supplied source stays immutable. Application tests require a configured environment.</x:v>
      </x:c>
      <x:c r="F134" s="9" t="str">
        <x:v>Ask the Sales Operations Manager to review the labels, scope, evidence, and recommendation against CRM-REQ-03.</x:v>
      </x:c>
      <x:c r="G134" s="9" t="str">
        <x:v>Owner records Approved / Rejected / Needs clarification with a reason and supporting evidence.</x:v>
      </x:c>
      <x:c r="H134" s="11" t="str">
        <x:v>Not executed</x:v>
      </x:c>
      <x:c r="I134" s="11" t="str"/>
      <x:c r="J134" s="11" t="str"/>
      <x:c r="K134" s="11" t="str"/>
      <x:c r="L134" s="12" t="str"/>
      <x:c r="M134" s="11" t="str"/>
      <x:c r="N134" s="11" t="str">
        <x:v>Pending</x:v>
      </x:c>
      <x:c r="O134" s="1"/>
      <x:c r="P134" s="1"/>
    </x:row>
    <x:row r="135" ht="80" customHeight="1">
      <x:c r="A135" s="9" t="str">
        <x:v>CRM</x:v>
      </x:c>
      <x:c r="B135" s="9" t="str">
        <x:v>CRM-UAT-04-A</x:v>
      </x:c>
      <x:c r="C135" s="9" t="str">
        <x:v>CRM-REQ-04</x:v>
      </x:c>
      <x:c r="D135" s="9" t="str">
        <x:v>Acceptance</x:v>
      </x:c>
      <x:c r="E135" s="9" t="str">
        <x:v>Use a disposable fixture for changed data; supplied source stays immutable. Application tests require a configured environment.</x:v>
      </x:c>
      <x:c r="F135" s="9" t="str">
        <x:v>Review requirement CRM-REQ-04; load the unchanged supplied source; inspect Q03 result and independently recompute its control totals.</x:v>
      </x:c>
      <x:c r="G135" s="9" t="str">
        <x:v>Stage amounts reconcile; counts total the source record count.</x:v>
      </x:c>
      <x:c r="H135" s="11" t="str">
        <x:v>Not executed</x:v>
      </x:c>
      <x:c r="I135" s="11" t="str"/>
      <x:c r="J135" s="11" t="str"/>
      <x:c r="K135" s="11" t="str"/>
      <x:c r="L135" s="12" t="str"/>
      <x:c r="M135" s="11" t="str"/>
      <x:c r="N135" s="11" t="str">
        <x:v>Pending</x:v>
      </x:c>
      <x:c r="O135" s="1"/>
      <x:c r="P135" s="1"/>
    </x:row>
    <x:row r="136" ht="80" customHeight="1">
      <x:c r="A136" s="9" t="str">
        <x:v>CRM</x:v>
      </x:c>
      <x:c r="B136" s="9" t="str">
        <x:v>CRM-UAT-04-B</x:v>
      </x:c>
      <x:c r="C136" s="9" t="str">
        <x:v>CRM-REQ-04</x:v>
      </x:c>
      <x:c r="D136" s="9" t="str">
        <x:v>Boundary / exception</x:v>
      </x:c>
      <x:c r="E136" s="9" t="str">
        <x:v>Use a disposable fixture for changed data; supplied source stays immutable. Application tests require a configured environment.</x:v>
      </x:c>
      <x:c r="F136" s="9" t="str">
        <x:v>Prepare a disposable case for this rule: Counts and amounts have separate labels; small stage samples do not imply stable rates. Re-run the applicable SQL or execute the control in the future configured application.</x:v>
      </x:c>
      <x:c r="G136" s="9" t="str">
        <x:v>Counts and amounts have separate labels; small stage samples do not imply stable rates.</x:v>
      </x:c>
      <x:c r="H136" s="11" t="str">
        <x:v>Not executed</x:v>
      </x:c>
      <x:c r="I136" s="11" t="str"/>
      <x:c r="J136" s="11" t="str"/>
      <x:c r="K136" s="11" t="str"/>
      <x:c r="L136" s="12" t="str"/>
      <x:c r="M136" s="11" t="str"/>
      <x:c r="N136" s="11" t="str">
        <x:v>Pending</x:v>
      </x:c>
      <x:c r="O136" s="1"/>
      <x:c r="P136" s="1"/>
    </x:row>
    <x:row r="137" ht="80" customHeight="1">
      <x:c r="A137" s="9" t="str">
        <x:v>CRM</x:v>
      </x:c>
      <x:c r="B137" s="9" t="str">
        <x:v>CRM-UAT-04-C</x:v>
      </x:c>
      <x:c r="C137" s="9" t="str">
        <x:v>CRM-REQ-04</x:v>
      </x:c>
      <x:c r="D137" s="9" t="str">
        <x:v>Business review</x:v>
      </x:c>
      <x:c r="E137" s="9" t="str">
        <x:v>Use a disposable fixture for changed data; supplied source stays immutable. Application tests require a configured environment.</x:v>
      </x:c>
      <x:c r="F137" s="9" t="str">
        <x:v>Ask the Sales Operations Manager to review the labels, scope, evidence, and recommendation against CRM-REQ-04.</x:v>
      </x:c>
      <x:c r="G137" s="9" t="str">
        <x:v>Owner records Approved / Rejected / Needs clarification with a reason and supporting evidence.</x:v>
      </x:c>
      <x:c r="H137" s="11" t="str">
        <x:v>Not executed</x:v>
      </x:c>
      <x:c r="I137" s="11" t="str"/>
      <x:c r="J137" s="11" t="str"/>
      <x:c r="K137" s="11" t="str"/>
      <x:c r="L137" s="12" t="str"/>
      <x:c r="M137" s="11" t="str"/>
      <x:c r="N137" s="11" t="str">
        <x:v>Pending</x:v>
      </x:c>
      <x:c r="O137" s="1"/>
      <x:c r="P137" s="1"/>
    </x:row>
    <x:row r="138" ht="80" customHeight="1">
      <x:c r="A138" s="9" t="str">
        <x:v>CRM</x:v>
      </x:c>
      <x:c r="B138" s="9" t="str">
        <x:v>CRM-UAT-05-A</x:v>
      </x:c>
      <x:c r="C138" s="9" t="str">
        <x:v>CRM-REQ-05</x:v>
      </x:c>
      <x:c r="D138" s="9" t="str">
        <x:v>Acceptance</x:v>
      </x:c>
      <x:c r="E138" s="9" t="str">
        <x:v>Use a disposable fixture for changed data; supplied source stays immutable. Application tests require a configured environment.</x:v>
      </x:c>
      <x:c r="F138" s="9" t="str">
        <x:v>Review requirement CRM-REQ-05; load the unchanged supplied source; inspect Q04 result and independently recompute its control totals.</x:v>
      </x:c>
      <x:c r="G138" s="9" t="str">
        <x:v>Only open stages appear and each value is traceable to one source record.</x:v>
      </x:c>
      <x:c r="H138" s="11" t="str">
        <x:v>Not executed</x:v>
      </x:c>
      <x:c r="I138" s="11" t="str"/>
      <x:c r="J138" s="11" t="str"/>
      <x:c r="K138" s="11" t="str"/>
      <x:c r="L138" s="12" t="str"/>
      <x:c r="M138" s="11" t="str"/>
      <x:c r="N138" s="11" t="str">
        <x:v>Pending</x:v>
      </x:c>
      <x:c r="O138" s="1"/>
      <x:c r="P138" s="1"/>
    </x:row>
    <x:row r="139" ht="80" customHeight="1">
      <x:c r="A139" s="9" t="str">
        <x:v>CRM</x:v>
      </x:c>
      <x:c r="B139" s="9" t="str">
        <x:v>CRM-UAT-05-B</x:v>
      </x:c>
      <x:c r="C139" s="9" t="str">
        <x:v>CRM-REQ-05</x:v>
      </x:c>
      <x:c r="D139" s="9" t="str">
        <x:v>Boundary / exception</x:v>
      </x:c>
      <x:c r="E139" s="9" t="str">
        <x:v>Use a disposable fixture for changed data; supplied source stays immutable. Application tests require a configured environment.</x:v>
      </x:c>
      <x:c r="F139" s="9" t="str">
        <x:v>Prepare a disposable case for this rule: Tied weighted amounts sort by opportunity_id; closed opportunities never enter open review queue. Re-run the applicable SQL or execute the control in the future configured application.</x:v>
      </x:c>
      <x:c r="G139" s="9" t="str">
        <x:v>Tied weighted amounts sort by opportunity_id; closed opportunities never enter open review queue.</x:v>
      </x:c>
      <x:c r="H139" s="11" t="str">
        <x:v>Not executed</x:v>
      </x:c>
      <x:c r="I139" s="11" t="str"/>
      <x:c r="J139" s="11" t="str"/>
      <x:c r="K139" s="11" t="str"/>
      <x:c r="L139" s="12" t="str"/>
      <x:c r="M139" s="11" t="str"/>
      <x:c r="N139" s="11" t="str">
        <x:v>Pending</x:v>
      </x:c>
      <x:c r="O139" s="1"/>
      <x:c r="P139" s="1"/>
    </x:row>
    <x:row r="140" ht="80" customHeight="1">
      <x:c r="A140" s="9" t="str">
        <x:v>CRM</x:v>
      </x:c>
      <x:c r="B140" s="9" t="str">
        <x:v>CRM-UAT-05-C</x:v>
      </x:c>
      <x:c r="C140" s="9" t="str">
        <x:v>CRM-REQ-05</x:v>
      </x:c>
      <x:c r="D140" s="9" t="str">
        <x:v>Business review</x:v>
      </x:c>
      <x:c r="E140" s="9" t="str">
        <x:v>Use a disposable fixture for changed data; supplied source stays immutable. Application tests require a configured environment.</x:v>
      </x:c>
      <x:c r="F140" s="9" t="str">
        <x:v>Ask the Sales Operations Manager to review the labels, scope, evidence, and recommendation against CRM-REQ-05.</x:v>
      </x:c>
      <x:c r="G140" s="9" t="str">
        <x:v>Owner records Approved / Rejected / Needs clarification with a reason and supporting evidence.</x:v>
      </x:c>
      <x:c r="H140" s="11" t="str">
        <x:v>Not executed</x:v>
      </x:c>
      <x:c r="I140" s="11" t="str"/>
      <x:c r="J140" s="11" t="str"/>
      <x:c r="K140" s="11" t="str"/>
      <x:c r="L140" s="12" t="str"/>
      <x:c r="M140" s="11" t="str"/>
      <x:c r="N140" s="11" t="str">
        <x:v>Pending</x:v>
      </x:c>
      <x:c r="O140" s="1"/>
      <x:c r="P140" s="1"/>
    </x:row>
    <x:row r="141" ht="80" customHeight="1">
      <x:c r="A141" s="9" t="str">
        <x:v>CRM</x:v>
      </x:c>
      <x:c r="B141" s="9" t="str">
        <x:v>CRM-UAT-06-A</x:v>
      </x:c>
      <x:c r="C141" s="9" t="str">
        <x:v>CRM-REQ-06</x:v>
      </x:c>
      <x:c r="D141" s="9" t="str">
        <x:v>Acceptance</x:v>
      </x:c>
      <x:c r="E141" s="9" t="str">
        <x:v>Use a disposable fixture for changed data; supplied source stays immutable. Application tests require a configured environment.</x:v>
      </x:c>
      <x:c r="F141" s="9" t="str">
        <x:v>Review requirement CRM-REQ-06; load the unchanged supplied source; inspect Q01 result and independently recompute its control totals.</x:v>
      </x:c>
      <x:c r="G141" s="9" t="str">
        <x:v>No sales velocity, historical win rate, or time-bounded forecast is claimed.</x:v>
      </x:c>
      <x:c r="H141" s="11" t="str">
        <x:v>Not executed</x:v>
      </x:c>
      <x:c r="I141" s="11" t="str"/>
      <x:c r="J141" s="11" t="str"/>
      <x:c r="K141" s="11" t="str"/>
      <x:c r="L141" s="12" t="str"/>
      <x:c r="M141" s="11" t="str"/>
      <x:c r="N141" s="11" t="str">
        <x:v>Pending</x:v>
      </x:c>
      <x:c r="O141" s="1"/>
      <x:c r="P141" s="1"/>
    </x:row>
    <x:row r="142" ht="80" customHeight="1">
      <x:c r="A142" s="9" t="str">
        <x:v>CRM</x:v>
      </x:c>
      <x:c r="B142" s="9" t="str">
        <x:v>CRM-UAT-06-B</x:v>
      </x:c>
      <x:c r="C142" s="9" t="str">
        <x:v>CRM-REQ-06</x:v>
      </x:c>
      <x:c r="D142" s="9" t="str">
        <x:v>Boundary / exception</x:v>
      </x:c>
      <x:c r="E142" s="9" t="str">
        <x:v>Use a disposable fixture for changed data; supplied source stays immutable. Application tests require a configured environment.</x:v>
      </x:c>
      <x:c r="F142" s="9" t="str">
        <x:v>Prepare a disposable case for this rule: An undated snapshot cannot support velocity or a time-bounded revenue forecast. Re-run the applicable SQL or execute the control in the future configured application.</x:v>
      </x:c>
      <x:c r="G142" s="9" t="str">
        <x:v>An undated snapshot cannot support velocity or a time-bounded revenue forecast.</x:v>
      </x:c>
      <x:c r="H142" s="11" t="str">
        <x:v>Not executed</x:v>
      </x:c>
      <x:c r="I142" s="11" t="str"/>
      <x:c r="J142" s="11" t="str"/>
      <x:c r="K142" s="11" t="str"/>
      <x:c r="L142" s="12" t="str"/>
      <x:c r="M142" s="11" t="str"/>
      <x:c r="N142" s="11" t="str">
        <x:v>Pending</x:v>
      </x:c>
      <x:c r="O142" s="1"/>
      <x:c r="P142" s="1"/>
    </x:row>
    <x:row r="143" ht="80" customHeight="1">
      <x:c r="A143" s="9" t="str">
        <x:v>CRM</x:v>
      </x:c>
      <x:c r="B143" s="9" t="str">
        <x:v>CRM-UAT-06-C</x:v>
      </x:c>
      <x:c r="C143" s="9" t="str">
        <x:v>CRM-REQ-06</x:v>
      </x:c>
      <x:c r="D143" s="9" t="str">
        <x:v>Business review</x:v>
      </x:c>
      <x:c r="E143" s="9" t="str">
        <x:v>Use a disposable fixture for changed data; supplied source stays immutable. Application tests require a configured environment.</x:v>
      </x:c>
      <x:c r="F143" s="9" t="str">
        <x:v>Ask the Sales Operations Manager to review the labels, scope, evidence, and recommendation against CRM-REQ-06.</x:v>
      </x:c>
      <x:c r="G143" s="9" t="str">
        <x:v>Owner records Approved / Rejected / Needs clarification with a reason and supporting evidence.</x:v>
      </x:c>
      <x:c r="H143" s="11" t="str">
        <x:v>Not executed</x:v>
      </x:c>
      <x:c r="I143" s="11" t="str"/>
      <x:c r="J143" s="11" t="str"/>
      <x:c r="K143" s="11" t="str"/>
      <x:c r="L143" s="12" t="str"/>
      <x:c r="M143" s="11" t="str"/>
      <x:c r="N143" s="11" t="str">
        <x:v>Pending</x:v>
      </x:c>
      <x:c r="O143" s="1"/>
      <x:c r="P143" s="1"/>
    </x:row>
    <x:row r="144" ht="80" customHeight="1">
      <x:c r="A144" s="9" t="str">
        <x:v>CRM</x:v>
      </x:c>
      <x:c r="B144" s="9" t="str">
        <x:v>CRM-UAT-07-A</x:v>
      </x:c>
      <x:c r="C144" s="9" t="str">
        <x:v>CRM-REQ-07</x:v>
      </x:c>
      <x:c r="D144" s="9" t="str">
        <x:v>Acceptance</x:v>
      </x:c>
      <x:c r="E144" s="9" t="str">
        <x:v>Use a disposable fixture for changed data; supplied source stays immutable. Application tests require a configured environment.</x:v>
      </x:c>
      <x:c r="F144" s="9" t="str">
        <x:v>Review requirement CRM-REQ-07; load the unchanged supplied source; inspect the proposed control and execute it in a future configured application.</x:v>
      </x:c>
      <x:c r="G144" s="9" t="str">
        <x:v>Closed Won with probability below 1 and Closed Lost above 0 are blocked in fixture/design tests.</x:v>
      </x:c>
      <x:c r="H144" s="11" t="str">
        <x:v>Not executed</x:v>
      </x:c>
      <x:c r="I144" s="11" t="str"/>
      <x:c r="J144" s="11" t="str"/>
      <x:c r="K144" s="11" t="str"/>
      <x:c r="L144" s="12" t="str"/>
      <x:c r="M144" s="11" t="str"/>
      <x:c r="N144" s="11" t="str">
        <x:v>Pending</x:v>
      </x:c>
      <x:c r="O144" s="1"/>
      <x:c r="P144" s="1"/>
    </x:row>
    <x:row r="145" ht="80" customHeight="1">
      <x:c r="A145" s="9" t="str">
        <x:v>CRM</x:v>
      </x:c>
      <x:c r="B145" s="9" t="str">
        <x:v>CRM-UAT-07-B</x:v>
      </x:c>
      <x:c r="C145" s="9" t="str">
        <x:v>CRM-REQ-07</x:v>
      </x:c>
      <x:c r="D145" s="9" t="str">
        <x:v>Boundary / exception</x:v>
      </x:c>
      <x:c r="E145" s="9" t="str">
        <x:v>Use a disposable fixture for changed data; supplied source stays immutable. Application tests require a configured environment.</x:v>
      </x:c>
      <x:c r="F145" s="9" t="str">
        <x:v>Prepare a disposable case for this rule: Closed Won requires probability 1; Closed Lost requires 0. Mandatory close fields are future implementation requirements. Re-run the applicable SQL or execute the control in the future configured application.</x:v>
      </x:c>
      <x:c r="G145" s="9" t="str">
        <x:v>Closed Won requires probability 1; Closed Lost requires 0. Mandatory close fields are future implementation requirements.</x:v>
      </x:c>
      <x:c r="H145" s="11" t="str">
        <x:v>Not executed</x:v>
      </x:c>
      <x:c r="I145" s="11" t="str"/>
      <x:c r="J145" s="11" t="str"/>
      <x:c r="K145" s="11" t="str"/>
      <x:c r="L145" s="12" t="str"/>
      <x:c r="M145" s="11" t="str"/>
      <x:c r="N145" s="11" t="str">
        <x:v>Pending</x:v>
      </x:c>
      <x:c r="O145" s="1"/>
      <x:c r="P145" s="1"/>
    </x:row>
    <x:row r="146" ht="80" customHeight="1">
      <x:c r="A146" s="9" t="str">
        <x:v>CRM</x:v>
      </x:c>
      <x:c r="B146" s="9" t="str">
        <x:v>CRM-UAT-07-C</x:v>
      </x:c>
      <x:c r="C146" s="9" t="str">
        <x:v>CRM-REQ-07</x:v>
      </x:c>
      <x:c r="D146" s="9" t="str">
        <x:v>Business review</x:v>
      </x:c>
      <x:c r="E146" s="9" t="str">
        <x:v>Use a disposable fixture for changed data; supplied source stays immutable. Application tests require a configured environment.</x:v>
      </x:c>
      <x:c r="F146" s="9" t="str">
        <x:v>Ask the Sales Operations Manager to review the labels, scope, evidence, and recommendation against CRM-REQ-07.</x:v>
      </x:c>
      <x:c r="G146" s="9" t="str">
        <x:v>Owner records Approved / Rejected / Needs clarification with a reason and supporting evidence.</x:v>
      </x:c>
      <x:c r="H146" s="11" t="str">
        <x:v>Not executed</x:v>
      </x:c>
      <x:c r="I146" s="11" t="str"/>
      <x:c r="J146" s="11" t="str"/>
      <x:c r="K146" s="11" t="str"/>
      <x:c r="L146" s="12" t="str"/>
      <x:c r="M146" s="11" t="str"/>
      <x:c r="N146" s="11" t="str">
        <x:v>Pending</x:v>
      </x:c>
      <x:c r="O146" s="1"/>
      <x:c r="P146" s="1"/>
    </x:row>
    <x:row r="147" ht="80" customHeight="1">
      <x:c r="A147" s="9" t="str">
        <x:v>CRM</x:v>
      </x:c>
      <x:c r="B147" s="9" t="str">
        <x:v>CRM-UAT-08-A</x:v>
      </x:c>
      <x:c r="C147" s="9" t="str">
        <x:v>CRM-REQ-08</x:v>
      </x:c>
      <x:c r="D147" s="9" t="str">
        <x:v>Acceptance</x:v>
      </x:c>
      <x:c r="E147" s="9" t="str">
        <x:v>Use a disposable fixture for changed data; supplied source stays immutable. Application tests require a configured environment.</x:v>
      </x:c>
      <x:c r="F147" s="9" t="str">
        <x:v>Review requirement CRM-REQ-08; load the unchanged supplied source; inspect the proposed control and execute it in a future configured application.</x:v>
      </x:c>
      <x:c r="G147" s="9" t="str">
        <x:v>Future role tests prevent unauthorized forecast edits; local CSV prototype does not enforce CRM roles.</x:v>
      </x:c>
      <x:c r="H147" s="11" t="str">
        <x:v>Not executed</x:v>
      </x:c>
      <x:c r="I147" s="11" t="str"/>
      <x:c r="J147" s="11" t="str"/>
      <x:c r="K147" s="11" t="str"/>
      <x:c r="L147" s="12" t="str"/>
      <x:c r="M147" s="11" t="str"/>
      <x:c r="N147" s="11" t="str">
        <x:v>Pending</x:v>
      </x:c>
      <x:c r="O147" s="1"/>
      <x:c r="P147" s="1"/>
    </x:row>
    <x:row r="148" ht="80" customHeight="1">
      <x:c r="A148" s="9" t="str">
        <x:v>CRM</x:v>
      </x:c>
      <x:c r="B148" s="9" t="str">
        <x:v>CRM-UAT-08-B</x:v>
      </x:c>
      <x:c r="C148" s="9" t="str">
        <x:v>CRM-REQ-08</x:v>
      </x:c>
      <x:c r="D148" s="9" t="str">
        <x:v>Boundary / exception</x:v>
      </x:c>
      <x:c r="E148" s="9" t="str">
        <x:v>Use a disposable fixture for changed data; supplied source stays immutable. Application tests require a configured environment.</x:v>
      </x:c>
      <x:c r="F148" s="9" t="str">
        <x:v>Prepare a disposable case for this rule: Only authorized roles may edit probability or stage in a future CRM configuration; audit all changes. Re-run the applicable SQL or execute the control in the future configured application.</x:v>
      </x:c>
      <x:c r="G148" s="9" t="str">
        <x:v>Only authorized roles may edit probability or stage in a future CRM configuration; audit all changes.</x:v>
      </x:c>
      <x:c r="H148" s="11" t="str">
        <x:v>Not executed</x:v>
      </x:c>
      <x:c r="I148" s="11" t="str"/>
      <x:c r="J148" s="11" t="str"/>
      <x:c r="K148" s="11" t="str"/>
      <x:c r="L148" s="12" t="str"/>
      <x:c r="M148" s="11" t="str"/>
      <x:c r="N148" s="11" t="str">
        <x:v>Pending</x:v>
      </x:c>
      <x:c r="O148" s="1"/>
      <x:c r="P148" s="1"/>
    </x:row>
    <x:row r="149" ht="80" customHeight="1">
      <x:c r="A149" s="9" t="str">
        <x:v>CRM</x:v>
      </x:c>
      <x:c r="B149" s="9" t="str">
        <x:v>CRM-UAT-08-C</x:v>
      </x:c>
      <x:c r="C149" s="9" t="str">
        <x:v>CRM-REQ-08</x:v>
      </x:c>
      <x:c r="D149" s="9" t="str">
        <x:v>Business review</x:v>
      </x:c>
      <x:c r="E149" s="9" t="str">
        <x:v>Use a disposable fixture for changed data; supplied source stays immutable. Application tests require a configured environment.</x:v>
      </x:c>
      <x:c r="F149" s="9" t="str">
        <x:v>Ask the Sales Operations Manager to review the labels, scope, evidence, and recommendation against CRM-REQ-08.</x:v>
      </x:c>
      <x:c r="G149" s="9" t="str">
        <x:v>Owner records Approved / Rejected / Needs clarification with a reason and supporting evidence.</x:v>
      </x:c>
      <x:c r="H149" s="11" t="str">
        <x:v>Not executed</x:v>
      </x:c>
      <x:c r="I149" s="11" t="str"/>
      <x:c r="J149" s="11" t="str"/>
      <x:c r="K149" s="11" t="str"/>
      <x:c r="L149" s="12" t="str"/>
      <x:c r="M149" s="11" t="str"/>
      <x:c r="N149" s="11" t="str">
        <x:v>Pending</x:v>
      </x:c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</x:row>
  </x:sheetData>
  <x:conditionalFormatting sqref="H6:H149">
    <x:cfRule type="containsText" dxfId="1" priority="1" operator="containsText" text="Failed"/>
  </x:conditionalFormatting>
  <x:dataValidations count="2">
    <x:dataValidation type="list" sqref="H6:H149">
      <x:formula1>"Not executed,Passed,Failed,Blocked"</x:formula1>
    </x:dataValidation>
    <x:dataValidation type="list" sqref="N6:N149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02e59c3acc488f"/>
  </x:tableParts>
</x:worksheet>
</file>