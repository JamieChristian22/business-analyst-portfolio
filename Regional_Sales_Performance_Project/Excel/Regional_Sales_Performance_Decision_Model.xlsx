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amiechristian/Downloads/"/>
    </mc:Choice>
  </mc:AlternateContent>
  <xr:revisionPtr revIDLastSave="0" documentId="13_ncr:1_{61753451-07BF-4C46-8A2B-237BBF630646}" xr6:coauthVersionLast="47" xr6:coauthVersionMax="47" xr10:uidLastSave="{00000000-0000-0000-0000-000000000000}"/>
  <bookViews>
    <workbookView xWindow="0" yWindow="600" windowWidth="28800" windowHeight="16260" activeTab="3" xr2:uid="{00000000-000D-0000-FFFF-FFFF00000000}"/>
  </bookViews>
  <sheets>
    <sheet name="Raw_Data" sheetId="1" r:id="rId1"/>
    <sheet name="Control_Panel" sheetId="2" r:id="rId2"/>
    <sheet name="KPI_Engine" sheetId="3" r:id="rId3"/>
    <sheet name="Executive_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B11" i="3"/>
  <c r="D11" i="3" s="1"/>
  <c r="E11" i="3" s="1"/>
  <c r="C10" i="3"/>
  <c r="B10" i="3"/>
  <c r="D10" i="3" s="1"/>
  <c r="E10" i="3" s="1"/>
  <c r="C9" i="3"/>
  <c r="B9" i="3"/>
  <c r="D9" i="3" s="1"/>
  <c r="E9" i="3" s="1"/>
  <c r="C8" i="3"/>
  <c r="B8" i="3"/>
  <c r="D8" i="3" s="1"/>
  <c r="E8" i="3" s="1"/>
  <c r="C7" i="3"/>
  <c r="B7" i="3"/>
  <c r="D7" i="3" s="1"/>
  <c r="E7" i="3" s="1"/>
  <c r="C6" i="3"/>
  <c r="B6" i="3"/>
  <c r="D6" i="3" s="1"/>
  <c r="E6" i="3" s="1"/>
  <c r="C5" i="3"/>
  <c r="B5" i="3"/>
  <c r="D5" i="3" s="1"/>
  <c r="E5" i="3" s="1"/>
  <c r="C4" i="3"/>
  <c r="B4" i="3"/>
  <c r="D4" i="3" s="1"/>
  <c r="E4" i="3" s="1"/>
  <c r="C3" i="3"/>
  <c r="B4" i="4" s="1"/>
  <c r="B3" i="3"/>
  <c r="B3" i="4" s="1"/>
  <c r="B5" i="4" s="1"/>
  <c r="D3" i="3" l="1"/>
  <c r="E3" i="3" s="1"/>
</calcChain>
</file>

<file path=xl/sharedStrings.xml><?xml version="1.0" encoding="utf-8"?>
<sst xmlns="http://schemas.openxmlformats.org/spreadsheetml/2006/main" count="2671" uniqueCount="30">
  <si>
    <t>Raw Data (from CSV)</t>
  </si>
  <si>
    <t>Month</t>
  </si>
  <si>
    <t>Region</t>
  </si>
  <si>
    <t>Rep</t>
  </si>
  <si>
    <t>Pipeline ($)</t>
  </si>
  <si>
    <t>Closed Won ($)</t>
  </si>
  <si>
    <t>Quota ($)</t>
  </si>
  <si>
    <t>2025-07</t>
  </si>
  <si>
    <t>Raleigh</t>
  </si>
  <si>
    <t>2025-08</t>
  </si>
  <si>
    <t>2025-09</t>
  </si>
  <si>
    <t>2025-10</t>
  </si>
  <si>
    <t>2025-11</t>
  </si>
  <si>
    <t>2025-12</t>
  </si>
  <si>
    <t>Winston-Salem</t>
  </si>
  <si>
    <t>Asheville</t>
  </si>
  <si>
    <t>Wilmington</t>
  </si>
  <si>
    <t>Charlotte</t>
  </si>
  <si>
    <t>Greenville</t>
  </si>
  <si>
    <t>Greensboro</t>
  </si>
  <si>
    <t>Durham</t>
  </si>
  <si>
    <t>Fayetteville</t>
  </si>
  <si>
    <t>Control Panel</t>
  </si>
  <si>
    <t>All</t>
  </si>
  <si>
    <t>KPI Engine</t>
  </si>
  <si>
    <t>Attainment %</t>
  </si>
  <si>
    <t>Status</t>
  </si>
  <si>
    <t>Executive Dashboard</t>
  </si>
  <si>
    <t>Total Closed Won</t>
  </si>
  <si>
    <t>Total Quota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</si>
</sst>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0" xfId="0" applyFill="1"/>
    <xf numFmtId="9" fontId="0" fillId="0" borderId="1" xfId="0" applyNumberFormat="1" applyBorder="1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KPI_Engine!$B$2</c:f>
              <c:strCache>
                <c:ptCount val="1"/>
                <c:pt idx="0">
                  <c:v>Closed Won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KPI_Engine!$A$3:$A$11</c:f>
              <c:strCache>
                <c:ptCount val="9"/>
                <c:pt idx="0">
                  <c:v>Asheville</c:v>
                </c:pt>
                <c:pt idx="1">
                  <c:v>Charlotte</c:v>
                </c:pt>
                <c:pt idx="2">
                  <c:v>Durham</c:v>
                </c:pt>
                <c:pt idx="3">
                  <c:v>Fayetteville</c:v>
                </c:pt>
                <c:pt idx="4">
                  <c:v>Greensboro</c:v>
                </c:pt>
                <c:pt idx="5">
                  <c:v>Greenville</c:v>
                </c:pt>
                <c:pt idx="6">
                  <c:v>Raleigh</c:v>
                </c:pt>
                <c:pt idx="7">
                  <c:v>Wilmington</c:v>
                </c:pt>
                <c:pt idx="8">
                  <c:v>Winston-Salem</c:v>
                </c:pt>
              </c:strCache>
            </c:strRef>
          </c:cat>
          <c:val>
            <c:numRef>
              <c:f>KPI_Engine!$B$3:$B$11</c:f>
              <c:numCache>
                <c:formatCode>"$"#,##0</c:formatCode>
                <c:ptCount val="9"/>
                <c:pt idx="0">
                  <c:v>8945054.0399999972</c:v>
                </c:pt>
                <c:pt idx="1">
                  <c:v>8810668.0300000031</c:v>
                </c:pt>
                <c:pt idx="2">
                  <c:v>9879982.9099999983</c:v>
                </c:pt>
                <c:pt idx="3">
                  <c:v>7435669.0799999982</c:v>
                </c:pt>
                <c:pt idx="4">
                  <c:v>5810963.3199999984</c:v>
                </c:pt>
                <c:pt idx="5">
                  <c:v>9622929.5000000019</c:v>
                </c:pt>
                <c:pt idx="6">
                  <c:v>8635125.5800000038</c:v>
                </c:pt>
                <c:pt idx="7">
                  <c:v>9844884.3900000043</c:v>
                </c:pt>
                <c:pt idx="8">
                  <c:v>5161494.6899999995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8-E04D-8CA9-61E9C9F0B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Raw" displayName="SalesRaw" ref="A2:F1322">
  <autoFilter ref="A2:F1322" xr:uid="{00000000-0009-0000-0100-000001000000}"/>
  <tableColumns count="6">
    <tableColumn id="1" xr3:uid="{00000000-0010-0000-0000-000001000000}" name="Month"/>
    <tableColumn id="2" xr3:uid="{00000000-0010-0000-0000-000002000000}" name="Region"/>
    <tableColumn id="3" xr3:uid="{00000000-0010-0000-0000-000003000000}" name="Rep"/>
    <tableColumn id="4" xr3:uid="{00000000-0010-0000-0000-000004000000}" name="Pipeline ($)"/>
    <tableColumn id="5" xr3:uid="{00000000-0010-0000-0000-000005000000}" name="Closed Won ($)"/>
    <tableColumn id="6" xr3:uid="{00000000-0010-0000-0000-000006000000}" name="Quota ($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2"/>
  <sheetViews>
    <sheetView workbookViewId="0">
      <selection sqref="A1:H1"/>
    </sheetView>
  </sheetViews>
  <sheetFormatPr baseColWidth="10" defaultColWidth="8.83203125" defaultRowHeight="15" x14ac:dyDescent="0.2"/>
  <cols>
    <col min="1" max="1" width="10" customWidth="1"/>
    <col min="2" max="3" width="16" customWidth="1"/>
    <col min="4" max="6" width="14" customWidth="1"/>
  </cols>
  <sheetData>
    <row r="1" spans="1:8" ht="21" x14ac:dyDescent="0.25">
      <c r="A1" s="9" t="s">
        <v>0</v>
      </c>
      <c r="B1" s="10"/>
      <c r="C1" s="10"/>
      <c r="D1" s="10"/>
      <c r="E1" s="10"/>
      <c r="F1" s="10"/>
      <c r="G1" s="10"/>
      <c r="H1" s="10"/>
    </row>
    <row r="2" spans="1: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8" x14ac:dyDescent="0.2">
      <c r="A3" s="3" t="s">
        <v>7</v>
      </c>
      <c r="B3" s="3" t="s">
        <v>8</v>
      </c>
      <c r="C3" s="3">
        <v>89070.31</v>
      </c>
      <c r="D3" s="4">
        <v>267210.93</v>
      </c>
      <c r="E3" s="4">
        <v>89070.31</v>
      </c>
      <c r="F3" s="4">
        <v>91734.462</v>
      </c>
    </row>
    <row r="4" spans="1:8" x14ac:dyDescent="0.2">
      <c r="A4" s="3" t="s">
        <v>9</v>
      </c>
      <c r="B4" s="3" t="s">
        <v>8</v>
      </c>
      <c r="C4" s="3">
        <v>70054.52</v>
      </c>
      <c r="D4" s="4">
        <v>210163.56</v>
      </c>
      <c r="E4" s="4">
        <v>70054.52</v>
      </c>
      <c r="F4" s="4">
        <v>91734.462</v>
      </c>
    </row>
    <row r="5" spans="1:8" x14ac:dyDescent="0.2">
      <c r="A5" s="3" t="s">
        <v>10</v>
      </c>
      <c r="B5" s="3" t="s">
        <v>8</v>
      </c>
      <c r="C5" s="3">
        <v>79391.649999999994</v>
      </c>
      <c r="D5" s="4">
        <v>238174.95</v>
      </c>
      <c r="E5" s="4">
        <v>79391.649999999994</v>
      </c>
      <c r="F5" s="4">
        <v>91734.462</v>
      </c>
    </row>
    <row r="6" spans="1:8" x14ac:dyDescent="0.2">
      <c r="A6" s="3" t="s">
        <v>11</v>
      </c>
      <c r="B6" s="3" t="s">
        <v>8</v>
      </c>
      <c r="C6" s="3">
        <v>71755.320000000007</v>
      </c>
      <c r="D6" s="4">
        <v>215265.96</v>
      </c>
      <c r="E6" s="4">
        <v>71755.320000000007</v>
      </c>
      <c r="F6" s="4">
        <v>91734.462</v>
      </c>
    </row>
    <row r="7" spans="1:8" x14ac:dyDescent="0.2">
      <c r="A7" s="3" t="s">
        <v>12</v>
      </c>
      <c r="B7" s="3" t="s">
        <v>8</v>
      </c>
      <c r="C7" s="3">
        <v>87806.13</v>
      </c>
      <c r="D7" s="4">
        <v>263418.39</v>
      </c>
      <c r="E7" s="4">
        <v>87806.13</v>
      </c>
      <c r="F7" s="4">
        <v>91734.462</v>
      </c>
    </row>
    <row r="8" spans="1:8" x14ac:dyDescent="0.2">
      <c r="A8" s="3" t="s">
        <v>13</v>
      </c>
      <c r="B8" s="3" t="s">
        <v>8</v>
      </c>
      <c r="C8" s="3">
        <v>101927.18</v>
      </c>
      <c r="D8" s="4">
        <v>305781.53999999998</v>
      </c>
      <c r="E8" s="4">
        <v>101927.18</v>
      </c>
      <c r="F8" s="4">
        <v>91734.462</v>
      </c>
    </row>
    <row r="9" spans="1:8" x14ac:dyDescent="0.2">
      <c r="A9" s="3" t="s">
        <v>7</v>
      </c>
      <c r="B9" s="3" t="s">
        <v>14</v>
      </c>
      <c r="C9" s="3">
        <v>79048.509999999995</v>
      </c>
      <c r="D9" s="4">
        <v>237145.53</v>
      </c>
      <c r="E9" s="4">
        <v>79048.509999999995</v>
      </c>
      <c r="F9" s="4">
        <v>92194.631999999998</v>
      </c>
    </row>
    <row r="10" spans="1:8" x14ac:dyDescent="0.2">
      <c r="A10" s="3" t="s">
        <v>9</v>
      </c>
      <c r="B10" s="3" t="s">
        <v>14</v>
      </c>
      <c r="C10" s="3">
        <v>59490.03</v>
      </c>
      <c r="D10" s="4">
        <v>178470.09</v>
      </c>
      <c r="E10" s="4">
        <v>59490.03</v>
      </c>
      <c r="F10" s="4">
        <v>92194.631999999998</v>
      </c>
    </row>
    <row r="11" spans="1:8" x14ac:dyDescent="0.2">
      <c r="A11" s="3" t="s">
        <v>10</v>
      </c>
      <c r="B11" s="3" t="s">
        <v>14</v>
      </c>
      <c r="C11" s="3">
        <v>77851.09</v>
      </c>
      <c r="D11" s="4">
        <v>233553.27</v>
      </c>
      <c r="E11" s="4">
        <v>77851.09</v>
      </c>
      <c r="F11" s="4">
        <v>92194.631999999998</v>
      </c>
    </row>
    <row r="12" spans="1:8" x14ac:dyDescent="0.2">
      <c r="A12" s="3" t="s">
        <v>11</v>
      </c>
      <c r="B12" s="3" t="s">
        <v>14</v>
      </c>
      <c r="C12" s="3">
        <v>90212.18</v>
      </c>
      <c r="D12" s="4">
        <v>270636.53999999998</v>
      </c>
      <c r="E12" s="4">
        <v>90212.18</v>
      </c>
      <c r="F12" s="4">
        <v>92194.631999999998</v>
      </c>
    </row>
    <row r="13" spans="1:8" x14ac:dyDescent="0.2">
      <c r="A13" s="3" t="s">
        <v>12</v>
      </c>
      <c r="B13" s="3" t="s">
        <v>14</v>
      </c>
      <c r="C13" s="3">
        <v>102413.85</v>
      </c>
      <c r="D13" s="4">
        <v>307241.55</v>
      </c>
      <c r="E13" s="4">
        <v>102413.85</v>
      </c>
      <c r="F13" s="4">
        <v>92194.631999999998</v>
      </c>
    </row>
    <row r="14" spans="1:8" x14ac:dyDescent="0.2">
      <c r="A14" s="3" t="s">
        <v>13</v>
      </c>
      <c r="B14" s="3" t="s">
        <v>14</v>
      </c>
      <c r="C14" s="3">
        <v>102438.48</v>
      </c>
      <c r="D14" s="4">
        <v>307315.44</v>
      </c>
      <c r="E14" s="4">
        <v>102438.48</v>
      </c>
      <c r="F14" s="4">
        <v>92194.631999999998</v>
      </c>
    </row>
    <row r="15" spans="1:8" x14ac:dyDescent="0.2">
      <c r="A15" s="3" t="s">
        <v>7</v>
      </c>
      <c r="B15" s="3" t="s">
        <v>15</v>
      </c>
      <c r="C15" s="3">
        <v>72380.92</v>
      </c>
      <c r="D15" s="4">
        <v>217142.76</v>
      </c>
      <c r="E15" s="4">
        <v>72380.92</v>
      </c>
      <c r="F15" s="4">
        <v>95796.692999999999</v>
      </c>
    </row>
    <row r="16" spans="1:8" x14ac:dyDescent="0.2">
      <c r="A16" s="3" t="s">
        <v>9</v>
      </c>
      <c r="B16" s="3" t="s">
        <v>15</v>
      </c>
      <c r="C16" s="3">
        <v>45939.01</v>
      </c>
      <c r="D16" s="4">
        <v>137817.03</v>
      </c>
      <c r="E16" s="4">
        <v>45939.01</v>
      </c>
      <c r="F16" s="4">
        <v>95796.692999999999</v>
      </c>
    </row>
    <row r="17" spans="1:6" x14ac:dyDescent="0.2">
      <c r="A17" s="3" t="s">
        <v>10</v>
      </c>
      <c r="B17" s="3" t="s">
        <v>15</v>
      </c>
      <c r="C17" s="3">
        <v>55251.37</v>
      </c>
      <c r="D17" s="4">
        <v>165754.10999999999</v>
      </c>
      <c r="E17" s="4">
        <v>55251.37</v>
      </c>
      <c r="F17" s="4">
        <v>95796.692999999999</v>
      </c>
    </row>
    <row r="18" spans="1:6" x14ac:dyDescent="0.2">
      <c r="A18" s="3" t="s">
        <v>11</v>
      </c>
      <c r="B18" s="3" t="s">
        <v>15</v>
      </c>
      <c r="C18" s="3">
        <v>51808.32</v>
      </c>
      <c r="D18" s="4">
        <v>155424.95999999999</v>
      </c>
      <c r="E18" s="4">
        <v>51808.32</v>
      </c>
      <c r="F18" s="4">
        <v>95796.692999999999</v>
      </c>
    </row>
    <row r="19" spans="1:6" x14ac:dyDescent="0.2">
      <c r="A19" s="3" t="s">
        <v>12</v>
      </c>
      <c r="B19" s="3" t="s">
        <v>15</v>
      </c>
      <c r="C19" s="3">
        <v>50625.93</v>
      </c>
      <c r="D19" s="4">
        <v>151877.79</v>
      </c>
      <c r="E19" s="4">
        <v>50625.93</v>
      </c>
      <c r="F19" s="4">
        <v>95796.692999999999</v>
      </c>
    </row>
    <row r="20" spans="1:6" x14ac:dyDescent="0.2">
      <c r="A20" s="3" t="s">
        <v>13</v>
      </c>
      <c r="B20" s="3" t="s">
        <v>15</v>
      </c>
      <c r="C20" s="3">
        <v>70440.94</v>
      </c>
      <c r="D20" s="4">
        <v>211322.82</v>
      </c>
      <c r="E20" s="4">
        <v>70440.94</v>
      </c>
      <c r="F20" s="4">
        <v>95796.692999999999</v>
      </c>
    </row>
    <row r="21" spans="1:6" x14ac:dyDescent="0.2">
      <c r="A21" s="3" t="s">
        <v>7</v>
      </c>
      <c r="B21" s="3" t="s">
        <v>16</v>
      </c>
      <c r="C21" s="3">
        <v>66120.13</v>
      </c>
      <c r="D21" s="4">
        <v>198360.39</v>
      </c>
      <c r="E21" s="4">
        <v>66120.13</v>
      </c>
      <c r="F21" s="4">
        <v>94304.313000000009</v>
      </c>
    </row>
    <row r="22" spans="1:6" x14ac:dyDescent="0.2">
      <c r="A22" s="3" t="s">
        <v>9</v>
      </c>
      <c r="B22" s="3" t="s">
        <v>16</v>
      </c>
      <c r="C22" s="3">
        <v>54057.61</v>
      </c>
      <c r="D22" s="4">
        <v>162172.82999999999</v>
      </c>
      <c r="E22" s="4">
        <v>54057.61</v>
      </c>
      <c r="F22" s="4">
        <v>94304.313000000009</v>
      </c>
    </row>
    <row r="23" spans="1:6" x14ac:dyDescent="0.2">
      <c r="A23" s="3" t="s">
        <v>10</v>
      </c>
      <c r="B23" s="3" t="s">
        <v>16</v>
      </c>
      <c r="C23" s="3">
        <v>44950.71</v>
      </c>
      <c r="D23" s="4">
        <v>134852.13</v>
      </c>
      <c r="E23" s="4">
        <v>44950.71</v>
      </c>
      <c r="F23" s="4">
        <v>94304.313000000009</v>
      </c>
    </row>
    <row r="24" spans="1:6" x14ac:dyDescent="0.2">
      <c r="A24" s="3" t="s">
        <v>11</v>
      </c>
      <c r="B24" s="3" t="s">
        <v>16</v>
      </c>
      <c r="C24" s="3">
        <v>61890.01</v>
      </c>
      <c r="D24" s="4">
        <v>185670.03</v>
      </c>
      <c r="E24" s="4">
        <v>61890.01</v>
      </c>
      <c r="F24" s="4">
        <v>94304.313000000009</v>
      </c>
    </row>
    <row r="25" spans="1:6" x14ac:dyDescent="0.2">
      <c r="A25" s="3" t="s">
        <v>12</v>
      </c>
      <c r="B25" s="3" t="s">
        <v>16</v>
      </c>
      <c r="C25" s="3">
        <v>73953.33</v>
      </c>
      <c r="D25" s="4">
        <v>221859.99</v>
      </c>
      <c r="E25" s="4">
        <v>73953.33</v>
      </c>
      <c r="F25" s="4">
        <v>94304.313000000009</v>
      </c>
    </row>
    <row r="26" spans="1:6" x14ac:dyDescent="0.2">
      <c r="A26" s="3" t="s">
        <v>13</v>
      </c>
      <c r="B26" s="3" t="s">
        <v>16</v>
      </c>
      <c r="C26" s="3">
        <v>65189.56</v>
      </c>
      <c r="D26" s="4">
        <v>195568.68</v>
      </c>
      <c r="E26" s="4">
        <v>65189.56</v>
      </c>
      <c r="F26" s="4">
        <v>94304.313000000009</v>
      </c>
    </row>
    <row r="27" spans="1:6" x14ac:dyDescent="0.2">
      <c r="A27" s="3" t="s">
        <v>7</v>
      </c>
      <c r="B27" s="3" t="s">
        <v>17</v>
      </c>
      <c r="C27" s="3">
        <v>45555.24</v>
      </c>
      <c r="D27" s="4">
        <v>136665.72</v>
      </c>
      <c r="E27" s="4">
        <v>45555.24</v>
      </c>
      <c r="F27" s="4">
        <v>83740.842000000004</v>
      </c>
    </row>
    <row r="28" spans="1:6" x14ac:dyDescent="0.2">
      <c r="A28" s="3" t="s">
        <v>9</v>
      </c>
      <c r="B28" s="3" t="s">
        <v>17</v>
      </c>
      <c r="C28" s="3">
        <v>44349.33</v>
      </c>
      <c r="D28" s="4">
        <v>133047.99</v>
      </c>
      <c r="E28" s="4">
        <v>44349.33</v>
      </c>
      <c r="F28" s="4">
        <v>83740.842000000004</v>
      </c>
    </row>
    <row r="29" spans="1:6" x14ac:dyDescent="0.2">
      <c r="A29" s="3" t="s">
        <v>10</v>
      </c>
      <c r="B29" s="3" t="s">
        <v>17</v>
      </c>
      <c r="C29" s="3">
        <v>40433.93</v>
      </c>
      <c r="D29" s="4">
        <v>121301.79</v>
      </c>
      <c r="E29" s="4">
        <v>40433.93</v>
      </c>
      <c r="F29" s="4">
        <v>83740.842000000004</v>
      </c>
    </row>
    <row r="30" spans="1:6" x14ac:dyDescent="0.2">
      <c r="A30" s="3" t="s">
        <v>11</v>
      </c>
      <c r="B30" s="3" t="s">
        <v>17</v>
      </c>
      <c r="C30" s="3">
        <v>42502.92</v>
      </c>
      <c r="D30" s="4">
        <v>127508.76</v>
      </c>
      <c r="E30" s="4">
        <v>42502.92</v>
      </c>
      <c r="F30" s="4">
        <v>83740.842000000004</v>
      </c>
    </row>
    <row r="31" spans="1:6" x14ac:dyDescent="0.2">
      <c r="A31" s="3" t="s">
        <v>12</v>
      </c>
      <c r="B31" s="3" t="s">
        <v>17</v>
      </c>
      <c r="C31" s="3">
        <v>37859.42</v>
      </c>
      <c r="D31" s="4">
        <v>113578.26</v>
      </c>
      <c r="E31" s="4">
        <v>37859.42</v>
      </c>
      <c r="F31" s="4">
        <v>83740.842000000004</v>
      </c>
    </row>
    <row r="32" spans="1:6" x14ac:dyDescent="0.2">
      <c r="A32" s="3" t="s">
        <v>13</v>
      </c>
      <c r="B32" s="3" t="s">
        <v>17</v>
      </c>
      <c r="C32" s="3">
        <v>44234.01</v>
      </c>
      <c r="D32" s="4">
        <v>132702.03</v>
      </c>
      <c r="E32" s="4">
        <v>44234.01</v>
      </c>
      <c r="F32" s="4">
        <v>83740.842000000004</v>
      </c>
    </row>
    <row r="33" spans="1:6" x14ac:dyDescent="0.2">
      <c r="A33" s="3" t="s">
        <v>7</v>
      </c>
      <c r="B33" s="3" t="s">
        <v>18</v>
      </c>
      <c r="C33" s="3">
        <v>37229.32</v>
      </c>
      <c r="D33" s="4">
        <v>111687.96</v>
      </c>
      <c r="E33" s="4">
        <v>37229.32</v>
      </c>
      <c r="F33" s="4">
        <v>99634.98599999999</v>
      </c>
    </row>
    <row r="34" spans="1:6" x14ac:dyDescent="0.2">
      <c r="A34" s="3" t="s">
        <v>9</v>
      </c>
      <c r="B34" s="3" t="s">
        <v>18</v>
      </c>
      <c r="C34" s="3">
        <v>48584.03</v>
      </c>
      <c r="D34" s="4">
        <v>145752.09</v>
      </c>
      <c r="E34" s="4">
        <v>48584.03</v>
      </c>
      <c r="F34" s="4">
        <v>99634.98599999999</v>
      </c>
    </row>
    <row r="35" spans="1:6" x14ac:dyDescent="0.2">
      <c r="A35" s="3" t="s">
        <v>10</v>
      </c>
      <c r="B35" s="3" t="s">
        <v>18</v>
      </c>
      <c r="C35" s="3">
        <v>45691.44</v>
      </c>
      <c r="D35" s="4">
        <v>137074.32</v>
      </c>
      <c r="E35" s="4">
        <v>45691.44</v>
      </c>
      <c r="F35" s="4">
        <v>99634.98599999999</v>
      </c>
    </row>
    <row r="36" spans="1:6" x14ac:dyDescent="0.2">
      <c r="A36" s="3" t="s">
        <v>11</v>
      </c>
      <c r="B36" s="3" t="s">
        <v>18</v>
      </c>
      <c r="C36" s="3">
        <v>46768.79</v>
      </c>
      <c r="D36" s="4">
        <v>140306.37</v>
      </c>
      <c r="E36" s="4">
        <v>46768.79</v>
      </c>
      <c r="F36" s="4">
        <v>99634.98599999999</v>
      </c>
    </row>
    <row r="37" spans="1:6" x14ac:dyDescent="0.2">
      <c r="A37" s="3" t="s">
        <v>12</v>
      </c>
      <c r="B37" s="3" t="s">
        <v>18</v>
      </c>
      <c r="C37" s="3">
        <v>58068.83</v>
      </c>
      <c r="D37" s="4">
        <v>174206.49</v>
      </c>
      <c r="E37" s="4">
        <v>58068.83</v>
      </c>
      <c r="F37" s="4">
        <v>99634.98599999999</v>
      </c>
    </row>
    <row r="38" spans="1:6" x14ac:dyDescent="0.2">
      <c r="A38" s="3" t="s">
        <v>13</v>
      </c>
      <c r="B38" s="3" t="s">
        <v>18</v>
      </c>
      <c r="C38" s="3">
        <v>47888.81</v>
      </c>
      <c r="D38" s="4">
        <v>143666.43</v>
      </c>
      <c r="E38" s="4">
        <v>47888.81</v>
      </c>
      <c r="F38" s="4">
        <v>99634.98599999999</v>
      </c>
    </row>
    <row r="39" spans="1:6" x14ac:dyDescent="0.2">
      <c r="A39" s="3" t="s">
        <v>7</v>
      </c>
      <c r="B39" s="3" t="s">
        <v>17</v>
      </c>
      <c r="C39" s="3">
        <v>43892.82</v>
      </c>
      <c r="D39" s="4">
        <v>131678.46</v>
      </c>
      <c r="E39" s="4">
        <v>43892.82</v>
      </c>
      <c r="F39" s="4">
        <v>83740.842000000004</v>
      </c>
    </row>
    <row r="40" spans="1:6" x14ac:dyDescent="0.2">
      <c r="A40" s="3" t="s">
        <v>9</v>
      </c>
      <c r="B40" s="3" t="s">
        <v>17</v>
      </c>
      <c r="C40" s="3">
        <v>52424.82</v>
      </c>
      <c r="D40" s="4">
        <v>157274.46</v>
      </c>
      <c r="E40" s="4">
        <v>52424.82</v>
      </c>
      <c r="F40" s="4">
        <v>83740.842000000004</v>
      </c>
    </row>
    <row r="41" spans="1:6" x14ac:dyDescent="0.2">
      <c r="A41" s="3" t="s">
        <v>10</v>
      </c>
      <c r="B41" s="3" t="s">
        <v>17</v>
      </c>
      <c r="C41" s="3">
        <v>69479.679999999993</v>
      </c>
      <c r="D41" s="4">
        <v>208439.04000000001</v>
      </c>
      <c r="E41" s="4">
        <v>69479.679999999993</v>
      </c>
      <c r="F41" s="4">
        <v>83740.842000000004</v>
      </c>
    </row>
    <row r="42" spans="1:6" x14ac:dyDescent="0.2">
      <c r="A42" s="3" t="s">
        <v>11</v>
      </c>
      <c r="B42" s="3" t="s">
        <v>17</v>
      </c>
      <c r="C42" s="3">
        <v>51595</v>
      </c>
      <c r="D42" s="4">
        <v>154785</v>
      </c>
      <c r="E42" s="4">
        <v>51595</v>
      </c>
      <c r="F42" s="4">
        <v>83740.842000000004</v>
      </c>
    </row>
    <row r="43" spans="1:6" x14ac:dyDescent="0.2">
      <c r="A43" s="3" t="s">
        <v>12</v>
      </c>
      <c r="B43" s="3" t="s">
        <v>17</v>
      </c>
      <c r="C43" s="3">
        <v>69661.990000000005</v>
      </c>
      <c r="D43" s="4">
        <v>208985.97</v>
      </c>
      <c r="E43" s="4">
        <v>69661.990000000005</v>
      </c>
      <c r="F43" s="4">
        <v>83740.842000000004</v>
      </c>
    </row>
    <row r="44" spans="1:6" x14ac:dyDescent="0.2">
      <c r="A44" s="3" t="s">
        <v>13</v>
      </c>
      <c r="B44" s="3" t="s">
        <v>17</v>
      </c>
      <c r="C44" s="3">
        <v>62090.35</v>
      </c>
      <c r="D44" s="4">
        <v>186271.05</v>
      </c>
      <c r="E44" s="4">
        <v>62090.35</v>
      </c>
      <c r="F44" s="4">
        <v>83740.842000000004</v>
      </c>
    </row>
    <row r="45" spans="1:6" x14ac:dyDescent="0.2">
      <c r="A45" s="3" t="s">
        <v>7</v>
      </c>
      <c r="B45" s="3" t="s">
        <v>19</v>
      </c>
      <c r="C45" s="3">
        <v>37803.910000000003</v>
      </c>
      <c r="D45" s="4">
        <v>113411.73</v>
      </c>
      <c r="E45" s="4">
        <v>37803.910000000003</v>
      </c>
      <c r="F45" s="4">
        <v>101747.052</v>
      </c>
    </row>
    <row r="46" spans="1:6" x14ac:dyDescent="0.2">
      <c r="A46" s="3" t="s">
        <v>9</v>
      </c>
      <c r="B46" s="3" t="s">
        <v>19</v>
      </c>
      <c r="C46" s="3">
        <v>45821.58</v>
      </c>
      <c r="D46" s="4">
        <v>137464.74</v>
      </c>
      <c r="E46" s="4">
        <v>45821.58</v>
      </c>
      <c r="F46" s="4">
        <v>101747.052</v>
      </c>
    </row>
    <row r="47" spans="1:6" x14ac:dyDescent="0.2">
      <c r="A47" s="3" t="s">
        <v>10</v>
      </c>
      <c r="B47" s="3" t="s">
        <v>19</v>
      </c>
      <c r="C47" s="3">
        <v>45158.720000000001</v>
      </c>
      <c r="D47" s="4">
        <v>135476.16</v>
      </c>
      <c r="E47" s="4">
        <v>45158.720000000001</v>
      </c>
      <c r="F47" s="4">
        <v>101747.052</v>
      </c>
    </row>
    <row r="48" spans="1:6" x14ac:dyDescent="0.2">
      <c r="A48" s="3" t="s">
        <v>11</v>
      </c>
      <c r="B48" s="3" t="s">
        <v>19</v>
      </c>
      <c r="C48" s="3">
        <v>42536.75</v>
      </c>
      <c r="D48" s="4">
        <v>127610.25</v>
      </c>
      <c r="E48" s="4">
        <v>42536.75</v>
      </c>
      <c r="F48" s="4">
        <v>101747.052</v>
      </c>
    </row>
    <row r="49" spans="1:6" x14ac:dyDescent="0.2">
      <c r="A49" s="3" t="s">
        <v>12</v>
      </c>
      <c r="B49" s="3" t="s">
        <v>19</v>
      </c>
      <c r="C49" s="3">
        <v>58604.65</v>
      </c>
      <c r="D49" s="4">
        <v>175813.95</v>
      </c>
      <c r="E49" s="4">
        <v>58604.65</v>
      </c>
      <c r="F49" s="4">
        <v>101747.052</v>
      </c>
    </row>
    <row r="50" spans="1:6" x14ac:dyDescent="0.2">
      <c r="A50" s="3" t="s">
        <v>13</v>
      </c>
      <c r="B50" s="3" t="s">
        <v>19</v>
      </c>
      <c r="C50" s="3">
        <v>61110.07</v>
      </c>
      <c r="D50" s="4">
        <v>183330.21</v>
      </c>
      <c r="E50" s="4">
        <v>61110.07</v>
      </c>
      <c r="F50" s="4">
        <v>101747.052</v>
      </c>
    </row>
    <row r="51" spans="1:6" x14ac:dyDescent="0.2">
      <c r="A51" s="3" t="s">
        <v>7</v>
      </c>
      <c r="B51" s="3" t="s">
        <v>20</v>
      </c>
      <c r="C51" s="3">
        <v>38016.39</v>
      </c>
      <c r="D51" s="4">
        <v>114049.17</v>
      </c>
      <c r="E51" s="4">
        <v>38016.39</v>
      </c>
      <c r="F51" s="4">
        <v>92182.01400000001</v>
      </c>
    </row>
    <row r="52" spans="1:6" x14ac:dyDescent="0.2">
      <c r="A52" s="3" t="s">
        <v>9</v>
      </c>
      <c r="B52" s="3" t="s">
        <v>20</v>
      </c>
      <c r="C52" s="3">
        <v>53809.17</v>
      </c>
      <c r="D52" s="4">
        <v>161427.51</v>
      </c>
      <c r="E52" s="4">
        <v>53809.17</v>
      </c>
      <c r="F52" s="4">
        <v>92182.01400000001</v>
      </c>
    </row>
    <row r="53" spans="1:6" x14ac:dyDescent="0.2">
      <c r="A53" s="3" t="s">
        <v>10</v>
      </c>
      <c r="B53" s="3" t="s">
        <v>20</v>
      </c>
      <c r="C53" s="3">
        <v>57864.79</v>
      </c>
      <c r="D53" s="4">
        <v>173594.37</v>
      </c>
      <c r="E53" s="4">
        <v>57864.79</v>
      </c>
      <c r="F53" s="4">
        <v>92182.01400000001</v>
      </c>
    </row>
    <row r="54" spans="1:6" x14ac:dyDescent="0.2">
      <c r="A54" s="3" t="s">
        <v>11</v>
      </c>
      <c r="B54" s="3" t="s">
        <v>20</v>
      </c>
      <c r="C54" s="3">
        <v>44788.06</v>
      </c>
      <c r="D54" s="4">
        <v>134364.18</v>
      </c>
      <c r="E54" s="4">
        <v>44788.06</v>
      </c>
      <c r="F54" s="4">
        <v>92182.01400000001</v>
      </c>
    </row>
    <row r="55" spans="1:6" x14ac:dyDescent="0.2">
      <c r="A55" s="3" t="s">
        <v>12</v>
      </c>
      <c r="B55" s="3" t="s">
        <v>20</v>
      </c>
      <c r="C55" s="3">
        <v>66919.58</v>
      </c>
      <c r="D55" s="4">
        <v>200758.74</v>
      </c>
      <c r="E55" s="4">
        <v>66919.58</v>
      </c>
      <c r="F55" s="4">
        <v>92182.01400000001</v>
      </c>
    </row>
    <row r="56" spans="1:6" x14ac:dyDescent="0.2">
      <c r="A56" s="3" t="s">
        <v>13</v>
      </c>
      <c r="B56" s="3" t="s">
        <v>20</v>
      </c>
      <c r="C56" s="3">
        <v>58982.43</v>
      </c>
      <c r="D56" s="4">
        <v>176947.29</v>
      </c>
      <c r="E56" s="4">
        <v>58982.43</v>
      </c>
      <c r="F56" s="4">
        <v>92182.01400000001</v>
      </c>
    </row>
    <row r="57" spans="1:6" x14ac:dyDescent="0.2">
      <c r="A57" s="3" t="s">
        <v>7</v>
      </c>
      <c r="B57" s="3" t="s">
        <v>15</v>
      </c>
      <c r="C57" s="3">
        <v>40892.76</v>
      </c>
      <c r="D57" s="4">
        <v>122678.28</v>
      </c>
      <c r="E57" s="4">
        <v>40892.76</v>
      </c>
      <c r="F57" s="4">
        <v>95796.692999999999</v>
      </c>
    </row>
    <row r="58" spans="1:6" x14ac:dyDescent="0.2">
      <c r="A58" s="3" t="s">
        <v>9</v>
      </c>
      <c r="B58" s="3" t="s">
        <v>15</v>
      </c>
      <c r="C58" s="3">
        <v>33722.26</v>
      </c>
      <c r="D58" s="4">
        <v>101166.78</v>
      </c>
      <c r="E58" s="4">
        <v>33722.26</v>
      </c>
      <c r="F58" s="4">
        <v>95796.692999999999</v>
      </c>
    </row>
    <row r="59" spans="1:6" x14ac:dyDescent="0.2">
      <c r="A59" s="3" t="s">
        <v>10</v>
      </c>
      <c r="B59" s="3" t="s">
        <v>15</v>
      </c>
      <c r="C59" s="3">
        <v>50400.97</v>
      </c>
      <c r="D59" s="4">
        <v>151202.91</v>
      </c>
      <c r="E59" s="4">
        <v>50400.97</v>
      </c>
      <c r="F59" s="4">
        <v>95796.692999999999</v>
      </c>
    </row>
    <row r="60" spans="1:6" x14ac:dyDescent="0.2">
      <c r="A60" s="3" t="s">
        <v>11</v>
      </c>
      <c r="B60" s="3" t="s">
        <v>15</v>
      </c>
      <c r="C60" s="3">
        <v>37911.08</v>
      </c>
      <c r="D60" s="4">
        <v>113733.24</v>
      </c>
      <c r="E60" s="4">
        <v>37911.08</v>
      </c>
      <c r="F60" s="4">
        <v>95796.692999999999</v>
      </c>
    </row>
    <row r="61" spans="1:6" x14ac:dyDescent="0.2">
      <c r="A61" s="3" t="s">
        <v>12</v>
      </c>
      <c r="B61" s="3" t="s">
        <v>15</v>
      </c>
      <c r="C61" s="3">
        <v>50483.79</v>
      </c>
      <c r="D61" s="4">
        <v>151451.37</v>
      </c>
      <c r="E61" s="4">
        <v>50483.79</v>
      </c>
      <c r="F61" s="4">
        <v>95796.692999999999</v>
      </c>
    </row>
    <row r="62" spans="1:6" x14ac:dyDescent="0.2">
      <c r="A62" s="3" t="s">
        <v>13</v>
      </c>
      <c r="B62" s="3" t="s">
        <v>15</v>
      </c>
      <c r="C62" s="3">
        <v>40512.94</v>
      </c>
      <c r="D62" s="4">
        <v>121538.82</v>
      </c>
      <c r="E62" s="4">
        <v>40512.94</v>
      </c>
      <c r="F62" s="4">
        <v>95796.692999999999</v>
      </c>
    </row>
    <row r="63" spans="1:6" x14ac:dyDescent="0.2">
      <c r="A63" s="3" t="s">
        <v>7</v>
      </c>
      <c r="B63" s="3" t="s">
        <v>20</v>
      </c>
      <c r="C63" s="3">
        <v>76343.39</v>
      </c>
      <c r="D63" s="4">
        <v>229030.17</v>
      </c>
      <c r="E63" s="4">
        <v>76343.39</v>
      </c>
      <c r="F63" s="4">
        <v>92182.01400000001</v>
      </c>
    </row>
    <row r="64" spans="1:6" x14ac:dyDescent="0.2">
      <c r="A64" s="3" t="s">
        <v>9</v>
      </c>
      <c r="B64" s="3" t="s">
        <v>20</v>
      </c>
      <c r="C64" s="3">
        <v>73366.880000000005</v>
      </c>
      <c r="D64" s="4">
        <v>220100.64</v>
      </c>
      <c r="E64" s="4">
        <v>73366.880000000005</v>
      </c>
      <c r="F64" s="4">
        <v>92182.01400000001</v>
      </c>
    </row>
    <row r="65" spans="1:6" x14ac:dyDescent="0.2">
      <c r="A65" s="3" t="s">
        <v>10</v>
      </c>
      <c r="B65" s="3" t="s">
        <v>20</v>
      </c>
      <c r="C65" s="3">
        <v>61760.04</v>
      </c>
      <c r="D65" s="4">
        <v>185280.12</v>
      </c>
      <c r="E65" s="4">
        <v>61760.04</v>
      </c>
      <c r="F65" s="4">
        <v>92182.01400000001</v>
      </c>
    </row>
    <row r="66" spans="1:6" x14ac:dyDescent="0.2">
      <c r="A66" s="3" t="s">
        <v>11</v>
      </c>
      <c r="B66" s="3" t="s">
        <v>20</v>
      </c>
      <c r="C66" s="3">
        <v>74670.880000000005</v>
      </c>
      <c r="D66" s="4">
        <v>224012.64</v>
      </c>
      <c r="E66" s="4">
        <v>74670.880000000005</v>
      </c>
      <c r="F66" s="4">
        <v>92182.01400000001</v>
      </c>
    </row>
    <row r="67" spans="1:6" x14ac:dyDescent="0.2">
      <c r="A67" s="3" t="s">
        <v>12</v>
      </c>
      <c r="B67" s="3" t="s">
        <v>20</v>
      </c>
      <c r="C67" s="3">
        <v>68593.03</v>
      </c>
      <c r="D67" s="4">
        <v>205779.09</v>
      </c>
      <c r="E67" s="4">
        <v>68593.03</v>
      </c>
      <c r="F67" s="4">
        <v>92182.01400000001</v>
      </c>
    </row>
    <row r="68" spans="1:6" x14ac:dyDescent="0.2">
      <c r="A68" s="3" t="s">
        <v>13</v>
      </c>
      <c r="B68" s="3" t="s">
        <v>20</v>
      </c>
      <c r="C68" s="3">
        <v>77303.179999999993</v>
      </c>
      <c r="D68" s="4">
        <v>231909.54</v>
      </c>
      <c r="E68" s="4">
        <v>77303.179999999993</v>
      </c>
      <c r="F68" s="4">
        <v>92182.01400000001</v>
      </c>
    </row>
    <row r="69" spans="1:6" x14ac:dyDescent="0.2">
      <c r="A69" s="3" t="s">
        <v>7</v>
      </c>
      <c r="B69" s="3" t="s">
        <v>20</v>
      </c>
      <c r="C69" s="3">
        <v>32966.51</v>
      </c>
      <c r="D69" s="4">
        <v>98899.53</v>
      </c>
      <c r="E69" s="4">
        <v>32966.51</v>
      </c>
      <c r="F69" s="4">
        <v>92182.01400000001</v>
      </c>
    </row>
    <row r="70" spans="1:6" x14ac:dyDescent="0.2">
      <c r="A70" s="3" t="s">
        <v>9</v>
      </c>
      <c r="B70" s="3" t="s">
        <v>20</v>
      </c>
      <c r="C70" s="3">
        <v>43665.39</v>
      </c>
      <c r="D70" s="4">
        <v>130996.17</v>
      </c>
      <c r="E70" s="4">
        <v>43665.39</v>
      </c>
      <c r="F70" s="4">
        <v>92182.01400000001</v>
      </c>
    </row>
    <row r="71" spans="1:6" x14ac:dyDescent="0.2">
      <c r="A71" s="3" t="s">
        <v>10</v>
      </c>
      <c r="B71" s="3" t="s">
        <v>20</v>
      </c>
      <c r="C71" s="3">
        <v>49072.57</v>
      </c>
      <c r="D71" s="4">
        <v>147217.71</v>
      </c>
      <c r="E71" s="4">
        <v>49072.57</v>
      </c>
      <c r="F71" s="4">
        <v>92182.01400000001</v>
      </c>
    </row>
    <row r="72" spans="1:6" x14ac:dyDescent="0.2">
      <c r="A72" s="3" t="s">
        <v>11</v>
      </c>
      <c r="B72" s="3" t="s">
        <v>20</v>
      </c>
      <c r="C72" s="3">
        <v>47023.65</v>
      </c>
      <c r="D72" s="4">
        <v>141070.95000000001</v>
      </c>
      <c r="E72" s="4">
        <v>47023.65</v>
      </c>
      <c r="F72" s="4">
        <v>92182.01400000001</v>
      </c>
    </row>
    <row r="73" spans="1:6" x14ac:dyDescent="0.2">
      <c r="A73" s="3" t="s">
        <v>12</v>
      </c>
      <c r="B73" s="3" t="s">
        <v>20</v>
      </c>
      <c r="C73" s="3">
        <v>35881.5</v>
      </c>
      <c r="D73" s="4">
        <v>107644.5</v>
      </c>
      <c r="E73" s="4">
        <v>35881.5</v>
      </c>
      <c r="F73" s="4">
        <v>92182.01400000001</v>
      </c>
    </row>
    <row r="74" spans="1:6" x14ac:dyDescent="0.2">
      <c r="A74" s="3" t="s">
        <v>13</v>
      </c>
      <c r="B74" s="3" t="s">
        <v>20</v>
      </c>
      <c r="C74" s="3">
        <v>37700.93</v>
      </c>
      <c r="D74" s="4">
        <v>113102.79</v>
      </c>
      <c r="E74" s="4">
        <v>37700.93</v>
      </c>
      <c r="F74" s="4">
        <v>92182.01400000001</v>
      </c>
    </row>
    <row r="75" spans="1:6" x14ac:dyDescent="0.2">
      <c r="A75" s="3" t="s">
        <v>7</v>
      </c>
      <c r="B75" s="3" t="s">
        <v>19</v>
      </c>
      <c r="C75" s="3">
        <v>62435.55</v>
      </c>
      <c r="D75" s="4">
        <v>187306.65</v>
      </c>
      <c r="E75" s="4">
        <v>62435.55</v>
      </c>
      <c r="F75" s="4">
        <v>101747.052</v>
      </c>
    </row>
    <row r="76" spans="1:6" x14ac:dyDescent="0.2">
      <c r="A76" s="3" t="s">
        <v>9</v>
      </c>
      <c r="B76" s="3" t="s">
        <v>19</v>
      </c>
      <c r="C76" s="3">
        <v>66842.240000000005</v>
      </c>
      <c r="D76" s="4">
        <v>200526.72</v>
      </c>
      <c r="E76" s="4">
        <v>66842.240000000005</v>
      </c>
      <c r="F76" s="4">
        <v>101747.052</v>
      </c>
    </row>
    <row r="77" spans="1:6" x14ac:dyDescent="0.2">
      <c r="A77" s="3" t="s">
        <v>10</v>
      </c>
      <c r="B77" s="3" t="s">
        <v>19</v>
      </c>
      <c r="C77" s="3">
        <v>45266.71</v>
      </c>
      <c r="D77" s="4">
        <v>135800.13</v>
      </c>
      <c r="E77" s="4">
        <v>45266.71</v>
      </c>
      <c r="F77" s="4">
        <v>101747.052</v>
      </c>
    </row>
    <row r="78" spans="1:6" x14ac:dyDescent="0.2">
      <c r="A78" s="3" t="s">
        <v>11</v>
      </c>
      <c r="B78" s="3" t="s">
        <v>19</v>
      </c>
      <c r="C78" s="3">
        <v>45731.6</v>
      </c>
      <c r="D78" s="4">
        <v>137194.79999999999</v>
      </c>
      <c r="E78" s="4">
        <v>45731.6</v>
      </c>
      <c r="F78" s="4">
        <v>101747.052</v>
      </c>
    </row>
    <row r="79" spans="1:6" x14ac:dyDescent="0.2">
      <c r="A79" s="3" t="s">
        <v>12</v>
      </c>
      <c r="B79" s="3" t="s">
        <v>19</v>
      </c>
      <c r="C79" s="3">
        <v>59892.28</v>
      </c>
      <c r="D79" s="4">
        <v>179676.84</v>
      </c>
      <c r="E79" s="4">
        <v>59892.28</v>
      </c>
      <c r="F79" s="4">
        <v>101747.052</v>
      </c>
    </row>
    <row r="80" spans="1:6" x14ac:dyDescent="0.2">
      <c r="A80" s="3" t="s">
        <v>13</v>
      </c>
      <c r="B80" s="3" t="s">
        <v>19</v>
      </c>
      <c r="C80" s="3">
        <v>73349.39</v>
      </c>
      <c r="D80" s="4">
        <v>220048.17</v>
      </c>
      <c r="E80" s="4">
        <v>73349.39</v>
      </c>
      <c r="F80" s="4">
        <v>101747.052</v>
      </c>
    </row>
    <row r="81" spans="1:6" x14ac:dyDescent="0.2">
      <c r="A81" s="3" t="s">
        <v>7</v>
      </c>
      <c r="B81" s="3" t="s">
        <v>8</v>
      </c>
      <c r="C81" s="3">
        <v>55245.89</v>
      </c>
      <c r="D81" s="4">
        <v>165737.67000000001</v>
      </c>
      <c r="E81" s="4">
        <v>55245.89</v>
      </c>
      <c r="F81" s="4">
        <v>91734.462</v>
      </c>
    </row>
    <row r="82" spans="1:6" x14ac:dyDescent="0.2">
      <c r="A82" s="3" t="s">
        <v>9</v>
      </c>
      <c r="B82" s="3" t="s">
        <v>8</v>
      </c>
      <c r="C82" s="3">
        <v>65728.7</v>
      </c>
      <c r="D82" s="4">
        <v>197186.1</v>
      </c>
      <c r="E82" s="4">
        <v>65728.7</v>
      </c>
      <c r="F82" s="4">
        <v>91734.462</v>
      </c>
    </row>
    <row r="83" spans="1:6" x14ac:dyDescent="0.2">
      <c r="A83" s="3" t="s">
        <v>10</v>
      </c>
      <c r="B83" s="3" t="s">
        <v>8</v>
      </c>
      <c r="C83" s="3">
        <v>57943.040000000001</v>
      </c>
      <c r="D83" s="4">
        <v>173829.12</v>
      </c>
      <c r="E83" s="4">
        <v>57943.040000000001</v>
      </c>
      <c r="F83" s="4">
        <v>91734.462</v>
      </c>
    </row>
    <row r="84" spans="1:6" x14ac:dyDescent="0.2">
      <c r="A84" s="3" t="s">
        <v>11</v>
      </c>
      <c r="B84" s="3" t="s">
        <v>8</v>
      </c>
      <c r="C84" s="3">
        <v>52342.82</v>
      </c>
      <c r="D84" s="4">
        <v>157028.46</v>
      </c>
      <c r="E84" s="4">
        <v>52342.82</v>
      </c>
      <c r="F84" s="4">
        <v>91734.462</v>
      </c>
    </row>
    <row r="85" spans="1:6" x14ac:dyDescent="0.2">
      <c r="A85" s="3" t="s">
        <v>12</v>
      </c>
      <c r="B85" s="3" t="s">
        <v>8</v>
      </c>
      <c r="C85" s="3">
        <v>84436.58</v>
      </c>
      <c r="D85" s="4">
        <v>253309.74</v>
      </c>
      <c r="E85" s="4">
        <v>84436.58</v>
      </c>
      <c r="F85" s="4">
        <v>91734.462</v>
      </c>
    </row>
    <row r="86" spans="1:6" x14ac:dyDescent="0.2">
      <c r="A86" s="3" t="s">
        <v>13</v>
      </c>
      <c r="B86" s="3" t="s">
        <v>8</v>
      </c>
      <c r="C86" s="3">
        <v>59386.71</v>
      </c>
      <c r="D86" s="4">
        <v>178160.13</v>
      </c>
      <c r="E86" s="4">
        <v>59386.71</v>
      </c>
      <c r="F86" s="4">
        <v>91734.462</v>
      </c>
    </row>
    <row r="87" spans="1:6" x14ac:dyDescent="0.2">
      <c r="A87" s="3" t="s">
        <v>7</v>
      </c>
      <c r="B87" s="3" t="s">
        <v>20</v>
      </c>
      <c r="C87" s="3">
        <v>56467.37</v>
      </c>
      <c r="D87" s="4">
        <v>169402.11</v>
      </c>
      <c r="E87" s="4">
        <v>56467.37</v>
      </c>
      <c r="F87" s="4">
        <v>92182.01400000001</v>
      </c>
    </row>
    <row r="88" spans="1:6" x14ac:dyDescent="0.2">
      <c r="A88" s="3" t="s">
        <v>9</v>
      </c>
      <c r="B88" s="3" t="s">
        <v>20</v>
      </c>
      <c r="C88" s="3">
        <v>76537.06</v>
      </c>
      <c r="D88" s="4">
        <v>229611.18</v>
      </c>
      <c r="E88" s="4">
        <v>76537.06</v>
      </c>
      <c r="F88" s="4">
        <v>92182.01400000001</v>
      </c>
    </row>
    <row r="89" spans="1:6" x14ac:dyDescent="0.2">
      <c r="A89" s="3" t="s">
        <v>10</v>
      </c>
      <c r="B89" s="3" t="s">
        <v>20</v>
      </c>
      <c r="C89" s="3">
        <v>58152.54</v>
      </c>
      <c r="D89" s="4">
        <v>174457.62</v>
      </c>
      <c r="E89" s="4">
        <v>58152.54</v>
      </c>
      <c r="F89" s="4">
        <v>92182.01400000001</v>
      </c>
    </row>
    <row r="90" spans="1:6" x14ac:dyDescent="0.2">
      <c r="A90" s="3" t="s">
        <v>11</v>
      </c>
      <c r="B90" s="3" t="s">
        <v>20</v>
      </c>
      <c r="C90" s="3">
        <v>54396.06</v>
      </c>
      <c r="D90" s="4">
        <v>163188.18</v>
      </c>
      <c r="E90" s="4">
        <v>54396.06</v>
      </c>
      <c r="F90" s="4">
        <v>92182.01400000001</v>
      </c>
    </row>
    <row r="91" spans="1:6" x14ac:dyDescent="0.2">
      <c r="A91" s="3" t="s">
        <v>12</v>
      </c>
      <c r="B91" s="3" t="s">
        <v>20</v>
      </c>
      <c r="C91" s="3">
        <v>80098.37</v>
      </c>
      <c r="D91" s="4">
        <v>240295.11</v>
      </c>
      <c r="E91" s="4">
        <v>80098.37</v>
      </c>
      <c r="F91" s="4">
        <v>92182.01400000001</v>
      </c>
    </row>
    <row r="92" spans="1:6" x14ac:dyDescent="0.2">
      <c r="A92" s="3" t="s">
        <v>13</v>
      </c>
      <c r="B92" s="3" t="s">
        <v>20</v>
      </c>
      <c r="C92" s="3">
        <v>70719.429999999993</v>
      </c>
      <c r="D92" s="4">
        <v>212158.29</v>
      </c>
      <c r="E92" s="4">
        <v>70719.429999999993</v>
      </c>
      <c r="F92" s="4">
        <v>92182.01400000001</v>
      </c>
    </row>
    <row r="93" spans="1:6" x14ac:dyDescent="0.2">
      <c r="A93" s="3" t="s">
        <v>7</v>
      </c>
      <c r="B93" s="3" t="s">
        <v>8</v>
      </c>
      <c r="C93" s="3">
        <v>39357.550000000003</v>
      </c>
      <c r="D93" s="4">
        <v>118072.65</v>
      </c>
      <c r="E93" s="4">
        <v>39357.550000000003</v>
      </c>
      <c r="F93" s="4">
        <v>91734.462</v>
      </c>
    </row>
    <row r="94" spans="1:6" x14ac:dyDescent="0.2">
      <c r="A94" s="3" t="s">
        <v>9</v>
      </c>
      <c r="B94" s="3" t="s">
        <v>8</v>
      </c>
      <c r="C94" s="3">
        <v>47649.71</v>
      </c>
      <c r="D94" s="4">
        <v>142949.13</v>
      </c>
      <c r="E94" s="4">
        <v>47649.71</v>
      </c>
      <c r="F94" s="4">
        <v>91734.462</v>
      </c>
    </row>
    <row r="95" spans="1:6" x14ac:dyDescent="0.2">
      <c r="A95" s="3" t="s">
        <v>10</v>
      </c>
      <c r="B95" s="3" t="s">
        <v>8</v>
      </c>
      <c r="C95" s="3">
        <v>62066.48</v>
      </c>
      <c r="D95" s="4">
        <v>186199.44</v>
      </c>
      <c r="E95" s="4">
        <v>62066.48</v>
      </c>
      <c r="F95" s="4">
        <v>91734.462</v>
      </c>
    </row>
    <row r="96" spans="1:6" x14ac:dyDescent="0.2">
      <c r="A96" s="3" t="s">
        <v>11</v>
      </c>
      <c r="B96" s="3" t="s">
        <v>8</v>
      </c>
      <c r="C96" s="3">
        <v>57575.22</v>
      </c>
      <c r="D96" s="4">
        <v>172725.66</v>
      </c>
      <c r="E96" s="4">
        <v>57575.22</v>
      </c>
      <c r="F96" s="4">
        <v>91734.462</v>
      </c>
    </row>
    <row r="97" spans="1:6" x14ac:dyDescent="0.2">
      <c r="A97" s="3" t="s">
        <v>12</v>
      </c>
      <c r="B97" s="3" t="s">
        <v>8</v>
      </c>
      <c r="C97" s="3">
        <v>61143.12</v>
      </c>
      <c r="D97" s="4">
        <v>183429.36</v>
      </c>
      <c r="E97" s="4">
        <v>61143.12</v>
      </c>
      <c r="F97" s="4">
        <v>91734.462</v>
      </c>
    </row>
    <row r="98" spans="1:6" x14ac:dyDescent="0.2">
      <c r="A98" s="3" t="s">
        <v>13</v>
      </c>
      <c r="B98" s="3" t="s">
        <v>8</v>
      </c>
      <c r="C98" s="3">
        <v>63929.71</v>
      </c>
      <c r="D98" s="4">
        <v>191789.13</v>
      </c>
      <c r="E98" s="4">
        <v>63929.71</v>
      </c>
      <c r="F98" s="4">
        <v>91734.462</v>
      </c>
    </row>
    <row r="99" spans="1:6" x14ac:dyDescent="0.2">
      <c r="A99" s="3" t="s">
        <v>7</v>
      </c>
      <c r="B99" s="3" t="s">
        <v>21</v>
      </c>
      <c r="C99" s="3">
        <v>59997.01</v>
      </c>
      <c r="D99" s="4">
        <v>179991.03</v>
      </c>
      <c r="E99" s="4">
        <v>59997.01</v>
      </c>
      <c r="F99" s="4">
        <v>100474.88400000001</v>
      </c>
    </row>
    <row r="100" spans="1:6" x14ac:dyDescent="0.2">
      <c r="A100" s="3" t="s">
        <v>9</v>
      </c>
      <c r="B100" s="3" t="s">
        <v>21</v>
      </c>
      <c r="C100" s="3">
        <v>60464.53</v>
      </c>
      <c r="D100" s="4">
        <v>181393.59</v>
      </c>
      <c r="E100" s="4">
        <v>60464.53</v>
      </c>
      <c r="F100" s="4">
        <v>100474.88400000001</v>
      </c>
    </row>
    <row r="101" spans="1:6" x14ac:dyDescent="0.2">
      <c r="A101" s="3" t="s">
        <v>10</v>
      </c>
      <c r="B101" s="3" t="s">
        <v>21</v>
      </c>
      <c r="C101" s="3">
        <v>63039.73</v>
      </c>
      <c r="D101" s="4">
        <v>189119.19</v>
      </c>
      <c r="E101" s="4">
        <v>63039.73</v>
      </c>
      <c r="F101" s="4">
        <v>100474.88400000001</v>
      </c>
    </row>
    <row r="102" spans="1:6" x14ac:dyDescent="0.2">
      <c r="A102" s="3" t="s">
        <v>11</v>
      </c>
      <c r="B102" s="3" t="s">
        <v>21</v>
      </c>
      <c r="C102" s="3">
        <v>62429.22</v>
      </c>
      <c r="D102" s="4">
        <v>187287.66</v>
      </c>
      <c r="E102" s="4">
        <v>62429.22</v>
      </c>
      <c r="F102" s="4">
        <v>100474.88400000001</v>
      </c>
    </row>
    <row r="103" spans="1:6" x14ac:dyDescent="0.2">
      <c r="A103" s="3" t="s">
        <v>12</v>
      </c>
      <c r="B103" s="3" t="s">
        <v>21</v>
      </c>
      <c r="C103" s="3">
        <v>61273.43</v>
      </c>
      <c r="D103" s="4">
        <v>183820.29</v>
      </c>
      <c r="E103" s="4">
        <v>61273.43</v>
      </c>
      <c r="F103" s="4">
        <v>100474.88400000001</v>
      </c>
    </row>
    <row r="104" spans="1:6" x14ac:dyDescent="0.2">
      <c r="A104" s="3" t="s">
        <v>13</v>
      </c>
      <c r="B104" s="3" t="s">
        <v>21</v>
      </c>
      <c r="C104" s="3">
        <v>57066.43</v>
      </c>
      <c r="D104" s="4">
        <v>171199.29</v>
      </c>
      <c r="E104" s="4">
        <v>57066.43</v>
      </c>
      <c r="F104" s="4">
        <v>100474.88400000001</v>
      </c>
    </row>
    <row r="105" spans="1:6" x14ac:dyDescent="0.2">
      <c r="A105" s="3" t="s">
        <v>7</v>
      </c>
      <c r="B105" s="3" t="s">
        <v>17</v>
      </c>
      <c r="C105" s="3">
        <v>60513.2</v>
      </c>
      <c r="D105" s="4">
        <v>181539.6</v>
      </c>
      <c r="E105" s="4">
        <v>60513.2</v>
      </c>
      <c r="F105" s="4">
        <v>83740.842000000004</v>
      </c>
    </row>
    <row r="106" spans="1:6" x14ac:dyDescent="0.2">
      <c r="A106" s="3" t="s">
        <v>9</v>
      </c>
      <c r="B106" s="3" t="s">
        <v>17</v>
      </c>
      <c r="C106" s="3">
        <v>76489.649999999994</v>
      </c>
      <c r="D106" s="4">
        <v>229468.95</v>
      </c>
      <c r="E106" s="4">
        <v>76489.649999999994</v>
      </c>
      <c r="F106" s="4">
        <v>83740.842000000004</v>
      </c>
    </row>
    <row r="107" spans="1:6" x14ac:dyDescent="0.2">
      <c r="A107" s="3" t="s">
        <v>10</v>
      </c>
      <c r="B107" s="3" t="s">
        <v>17</v>
      </c>
      <c r="C107" s="3">
        <v>74690.94</v>
      </c>
      <c r="D107" s="4">
        <v>224072.82</v>
      </c>
      <c r="E107" s="4">
        <v>74690.94</v>
      </c>
      <c r="F107" s="4">
        <v>83740.842000000004</v>
      </c>
    </row>
    <row r="108" spans="1:6" x14ac:dyDescent="0.2">
      <c r="A108" s="3" t="s">
        <v>11</v>
      </c>
      <c r="B108" s="3" t="s">
        <v>17</v>
      </c>
      <c r="C108" s="3">
        <v>88578.28</v>
      </c>
      <c r="D108" s="4">
        <v>265734.84000000003</v>
      </c>
      <c r="E108" s="4">
        <v>88578.28</v>
      </c>
      <c r="F108" s="4">
        <v>83740.842000000004</v>
      </c>
    </row>
    <row r="109" spans="1:6" x14ac:dyDescent="0.2">
      <c r="A109" s="3" t="s">
        <v>12</v>
      </c>
      <c r="B109" s="3" t="s">
        <v>17</v>
      </c>
      <c r="C109" s="3">
        <v>87783.88</v>
      </c>
      <c r="D109" s="4">
        <v>263351.64</v>
      </c>
      <c r="E109" s="4">
        <v>87783.88</v>
      </c>
      <c r="F109" s="4">
        <v>83740.842000000004</v>
      </c>
    </row>
    <row r="110" spans="1:6" x14ac:dyDescent="0.2">
      <c r="A110" s="3" t="s">
        <v>13</v>
      </c>
      <c r="B110" s="3" t="s">
        <v>17</v>
      </c>
      <c r="C110" s="3">
        <v>61153.95</v>
      </c>
      <c r="D110" s="4">
        <v>183461.85</v>
      </c>
      <c r="E110" s="4">
        <v>61153.95</v>
      </c>
      <c r="F110" s="4">
        <v>83740.842000000004</v>
      </c>
    </row>
    <row r="111" spans="1:6" x14ac:dyDescent="0.2">
      <c r="A111" s="3" t="s">
        <v>7</v>
      </c>
      <c r="B111" s="3" t="s">
        <v>15</v>
      </c>
      <c r="C111" s="3">
        <v>45380.67</v>
      </c>
      <c r="D111" s="4">
        <v>136142.01</v>
      </c>
      <c r="E111" s="4">
        <v>45380.67</v>
      </c>
      <c r="F111" s="4">
        <v>95796.692999999999</v>
      </c>
    </row>
    <row r="112" spans="1:6" x14ac:dyDescent="0.2">
      <c r="A112" s="3" t="s">
        <v>9</v>
      </c>
      <c r="B112" s="3" t="s">
        <v>15</v>
      </c>
      <c r="C112" s="3">
        <v>36442.35</v>
      </c>
      <c r="D112" s="4">
        <v>109327.05</v>
      </c>
      <c r="E112" s="4">
        <v>36442.35</v>
      </c>
      <c r="F112" s="4">
        <v>95796.692999999999</v>
      </c>
    </row>
    <row r="113" spans="1:6" x14ac:dyDescent="0.2">
      <c r="A113" s="3" t="s">
        <v>10</v>
      </c>
      <c r="B113" s="3" t="s">
        <v>15</v>
      </c>
      <c r="C113" s="3">
        <v>54562.9</v>
      </c>
      <c r="D113" s="4">
        <v>163688.70000000001</v>
      </c>
      <c r="E113" s="4">
        <v>54562.9</v>
      </c>
      <c r="F113" s="4">
        <v>95796.692999999999</v>
      </c>
    </row>
    <row r="114" spans="1:6" x14ac:dyDescent="0.2">
      <c r="A114" s="3" t="s">
        <v>11</v>
      </c>
      <c r="B114" s="3" t="s">
        <v>15</v>
      </c>
      <c r="C114" s="3">
        <v>52542.25</v>
      </c>
      <c r="D114" s="4">
        <v>157626.75</v>
      </c>
      <c r="E114" s="4">
        <v>52542.25</v>
      </c>
      <c r="F114" s="4">
        <v>95796.692999999999</v>
      </c>
    </row>
    <row r="115" spans="1:6" x14ac:dyDescent="0.2">
      <c r="A115" s="3" t="s">
        <v>12</v>
      </c>
      <c r="B115" s="3" t="s">
        <v>15</v>
      </c>
      <c r="C115" s="3">
        <v>55540.23</v>
      </c>
      <c r="D115" s="4">
        <v>166620.69</v>
      </c>
      <c r="E115" s="4">
        <v>55540.23</v>
      </c>
      <c r="F115" s="4">
        <v>95796.692999999999</v>
      </c>
    </row>
    <row r="116" spans="1:6" x14ac:dyDescent="0.2">
      <c r="A116" s="3" t="s">
        <v>13</v>
      </c>
      <c r="B116" s="3" t="s">
        <v>15</v>
      </c>
      <c r="C116" s="3">
        <v>54678.87</v>
      </c>
      <c r="D116" s="4">
        <v>164036.60999999999</v>
      </c>
      <c r="E116" s="4">
        <v>54678.87</v>
      </c>
      <c r="F116" s="4">
        <v>95796.692999999999</v>
      </c>
    </row>
    <row r="117" spans="1:6" x14ac:dyDescent="0.2">
      <c r="A117" s="3" t="s">
        <v>7</v>
      </c>
      <c r="B117" s="3" t="s">
        <v>14</v>
      </c>
      <c r="C117" s="3">
        <v>46644.61</v>
      </c>
      <c r="D117" s="4">
        <v>139933.82999999999</v>
      </c>
      <c r="E117" s="4">
        <v>46644.61</v>
      </c>
      <c r="F117" s="4">
        <v>92194.631999999998</v>
      </c>
    </row>
    <row r="118" spans="1:6" x14ac:dyDescent="0.2">
      <c r="A118" s="3" t="s">
        <v>9</v>
      </c>
      <c r="B118" s="3" t="s">
        <v>14</v>
      </c>
      <c r="C118" s="3">
        <v>41919.660000000003</v>
      </c>
      <c r="D118" s="4">
        <v>125758.98</v>
      </c>
      <c r="E118" s="4">
        <v>41919.660000000003</v>
      </c>
      <c r="F118" s="4">
        <v>92194.631999999998</v>
      </c>
    </row>
    <row r="119" spans="1:6" x14ac:dyDescent="0.2">
      <c r="A119" s="3" t="s">
        <v>10</v>
      </c>
      <c r="B119" s="3" t="s">
        <v>14</v>
      </c>
      <c r="C119" s="3">
        <v>42761.77</v>
      </c>
      <c r="D119" s="4">
        <v>128285.31</v>
      </c>
      <c r="E119" s="4">
        <v>42761.77</v>
      </c>
      <c r="F119" s="4">
        <v>92194.631999999998</v>
      </c>
    </row>
    <row r="120" spans="1:6" x14ac:dyDescent="0.2">
      <c r="A120" s="3" t="s">
        <v>11</v>
      </c>
      <c r="B120" s="3" t="s">
        <v>14</v>
      </c>
      <c r="C120" s="3">
        <v>37799.160000000003</v>
      </c>
      <c r="D120" s="4">
        <v>113397.48</v>
      </c>
      <c r="E120" s="4">
        <v>37799.160000000003</v>
      </c>
      <c r="F120" s="4">
        <v>92194.631999999998</v>
      </c>
    </row>
    <row r="121" spans="1:6" x14ac:dyDescent="0.2">
      <c r="A121" s="3" t="s">
        <v>12</v>
      </c>
      <c r="B121" s="3" t="s">
        <v>14</v>
      </c>
      <c r="C121" s="3">
        <v>49076.61</v>
      </c>
      <c r="D121" s="4">
        <v>147229.82999999999</v>
      </c>
      <c r="E121" s="4">
        <v>49076.61</v>
      </c>
      <c r="F121" s="4">
        <v>92194.631999999998</v>
      </c>
    </row>
    <row r="122" spans="1:6" x14ac:dyDescent="0.2">
      <c r="A122" s="3" t="s">
        <v>13</v>
      </c>
      <c r="B122" s="3" t="s">
        <v>14</v>
      </c>
      <c r="C122" s="3">
        <v>51179.42</v>
      </c>
      <c r="D122" s="4">
        <v>153538.26</v>
      </c>
      <c r="E122" s="4">
        <v>51179.42</v>
      </c>
      <c r="F122" s="4">
        <v>92194.631999999998</v>
      </c>
    </row>
    <row r="123" spans="1:6" x14ac:dyDescent="0.2">
      <c r="A123" s="3" t="s">
        <v>7</v>
      </c>
      <c r="B123" s="3" t="s">
        <v>20</v>
      </c>
      <c r="C123" s="3">
        <v>57566.21</v>
      </c>
      <c r="D123" s="4">
        <v>172698.63</v>
      </c>
      <c r="E123" s="4">
        <v>57566.21</v>
      </c>
      <c r="F123" s="4">
        <v>92182.01400000001</v>
      </c>
    </row>
    <row r="124" spans="1:6" x14ac:dyDescent="0.2">
      <c r="A124" s="3" t="s">
        <v>9</v>
      </c>
      <c r="B124" s="3" t="s">
        <v>20</v>
      </c>
      <c r="C124" s="3">
        <v>44237.08</v>
      </c>
      <c r="D124" s="4">
        <v>132711.24</v>
      </c>
      <c r="E124" s="4">
        <v>44237.08</v>
      </c>
      <c r="F124" s="4">
        <v>92182.01400000001</v>
      </c>
    </row>
    <row r="125" spans="1:6" x14ac:dyDescent="0.2">
      <c r="A125" s="3" t="s">
        <v>10</v>
      </c>
      <c r="B125" s="3" t="s">
        <v>20</v>
      </c>
      <c r="C125" s="3">
        <v>53932.46</v>
      </c>
      <c r="D125" s="4">
        <v>161797.38</v>
      </c>
      <c r="E125" s="4">
        <v>53932.46</v>
      </c>
      <c r="F125" s="4">
        <v>92182.01400000001</v>
      </c>
    </row>
    <row r="126" spans="1:6" x14ac:dyDescent="0.2">
      <c r="A126" s="3" t="s">
        <v>11</v>
      </c>
      <c r="B126" s="3" t="s">
        <v>20</v>
      </c>
      <c r="C126" s="3">
        <v>40243.629999999997</v>
      </c>
      <c r="D126" s="4">
        <v>120730.89</v>
      </c>
      <c r="E126" s="4">
        <v>40243.629999999997</v>
      </c>
      <c r="F126" s="4">
        <v>92182.01400000001</v>
      </c>
    </row>
    <row r="127" spans="1:6" x14ac:dyDescent="0.2">
      <c r="A127" s="3" t="s">
        <v>12</v>
      </c>
      <c r="B127" s="3" t="s">
        <v>20</v>
      </c>
      <c r="C127" s="3">
        <v>60408.74</v>
      </c>
      <c r="D127" s="4">
        <v>181226.22</v>
      </c>
      <c r="E127" s="4">
        <v>60408.74</v>
      </c>
      <c r="F127" s="4">
        <v>92182.01400000001</v>
      </c>
    </row>
    <row r="128" spans="1:6" x14ac:dyDescent="0.2">
      <c r="A128" s="3" t="s">
        <v>13</v>
      </c>
      <c r="B128" s="3" t="s">
        <v>20</v>
      </c>
      <c r="C128" s="3">
        <v>52298.58</v>
      </c>
      <c r="D128" s="4">
        <v>156895.74</v>
      </c>
      <c r="E128" s="4">
        <v>52298.58</v>
      </c>
      <c r="F128" s="4">
        <v>92182.01400000001</v>
      </c>
    </row>
    <row r="129" spans="1:6" x14ac:dyDescent="0.2">
      <c r="A129" s="3" t="s">
        <v>7</v>
      </c>
      <c r="B129" s="3" t="s">
        <v>15</v>
      </c>
      <c r="C129" s="3">
        <v>66142.03</v>
      </c>
      <c r="D129" s="4">
        <v>198426.09</v>
      </c>
      <c r="E129" s="4">
        <v>66142.03</v>
      </c>
      <c r="F129" s="4">
        <v>95796.692999999999</v>
      </c>
    </row>
    <row r="130" spans="1:6" x14ac:dyDescent="0.2">
      <c r="A130" s="3" t="s">
        <v>9</v>
      </c>
      <c r="B130" s="3" t="s">
        <v>15</v>
      </c>
      <c r="C130" s="3">
        <v>69149.84</v>
      </c>
      <c r="D130" s="4">
        <v>207449.52</v>
      </c>
      <c r="E130" s="4">
        <v>69149.84</v>
      </c>
      <c r="F130" s="4">
        <v>95796.692999999999</v>
      </c>
    </row>
    <row r="131" spans="1:6" x14ac:dyDescent="0.2">
      <c r="A131" s="3" t="s">
        <v>10</v>
      </c>
      <c r="B131" s="3" t="s">
        <v>15</v>
      </c>
      <c r="C131" s="3">
        <v>72652.39</v>
      </c>
      <c r="D131" s="4">
        <v>217957.17</v>
      </c>
      <c r="E131" s="4">
        <v>72652.39</v>
      </c>
      <c r="F131" s="4">
        <v>95796.692999999999</v>
      </c>
    </row>
    <row r="132" spans="1:6" x14ac:dyDescent="0.2">
      <c r="A132" s="3" t="s">
        <v>11</v>
      </c>
      <c r="B132" s="3" t="s">
        <v>15</v>
      </c>
      <c r="C132" s="3">
        <v>66241.119999999995</v>
      </c>
      <c r="D132" s="4">
        <v>198723.36</v>
      </c>
      <c r="E132" s="4">
        <v>66241.119999999995</v>
      </c>
      <c r="F132" s="4">
        <v>95796.692999999999</v>
      </c>
    </row>
    <row r="133" spans="1:6" x14ac:dyDescent="0.2">
      <c r="A133" s="3" t="s">
        <v>12</v>
      </c>
      <c r="B133" s="3" t="s">
        <v>15</v>
      </c>
      <c r="C133" s="3">
        <v>71717.960000000006</v>
      </c>
      <c r="D133" s="4">
        <v>215153.88</v>
      </c>
      <c r="E133" s="4">
        <v>71717.960000000006</v>
      </c>
      <c r="F133" s="4">
        <v>95796.692999999999</v>
      </c>
    </row>
    <row r="134" spans="1:6" x14ac:dyDescent="0.2">
      <c r="A134" s="3" t="s">
        <v>13</v>
      </c>
      <c r="B134" s="3" t="s">
        <v>15</v>
      </c>
      <c r="C134" s="3">
        <v>60933.03</v>
      </c>
      <c r="D134" s="4">
        <v>182799.09</v>
      </c>
      <c r="E134" s="4">
        <v>60933.03</v>
      </c>
      <c r="F134" s="4">
        <v>95796.692999999999</v>
      </c>
    </row>
    <row r="135" spans="1:6" x14ac:dyDescent="0.2">
      <c r="A135" s="3" t="s">
        <v>7</v>
      </c>
      <c r="B135" s="3" t="s">
        <v>20</v>
      </c>
      <c r="C135" s="3">
        <v>55447.26</v>
      </c>
      <c r="D135" s="4">
        <v>166341.78</v>
      </c>
      <c r="E135" s="4">
        <v>55447.26</v>
      </c>
      <c r="F135" s="4">
        <v>92182.01400000001</v>
      </c>
    </row>
    <row r="136" spans="1:6" x14ac:dyDescent="0.2">
      <c r="A136" s="3" t="s">
        <v>9</v>
      </c>
      <c r="B136" s="3" t="s">
        <v>20</v>
      </c>
      <c r="C136" s="3">
        <v>53509.69</v>
      </c>
      <c r="D136" s="4">
        <v>160529.07</v>
      </c>
      <c r="E136" s="4">
        <v>53509.69</v>
      </c>
      <c r="F136" s="4">
        <v>92182.01400000001</v>
      </c>
    </row>
    <row r="137" spans="1:6" x14ac:dyDescent="0.2">
      <c r="A137" s="3" t="s">
        <v>10</v>
      </c>
      <c r="B137" s="3" t="s">
        <v>20</v>
      </c>
      <c r="C137" s="3">
        <v>63918.69</v>
      </c>
      <c r="D137" s="4">
        <v>191756.07</v>
      </c>
      <c r="E137" s="4">
        <v>63918.69</v>
      </c>
      <c r="F137" s="4">
        <v>92182.01400000001</v>
      </c>
    </row>
    <row r="138" spans="1:6" x14ac:dyDescent="0.2">
      <c r="A138" s="3" t="s">
        <v>11</v>
      </c>
      <c r="B138" s="3" t="s">
        <v>20</v>
      </c>
      <c r="C138" s="3">
        <v>57768.09</v>
      </c>
      <c r="D138" s="4">
        <v>173304.27</v>
      </c>
      <c r="E138" s="4">
        <v>57768.09</v>
      </c>
      <c r="F138" s="4">
        <v>92182.01400000001</v>
      </c>
    </row>
    <row r="139" spans="1:6" x14ac:dyDescent="0.2">
      <c r="A139" s="3" t="s">
        <v>12</v>
      </c>
      <c r="B139" s="3" t="s">
        <v>20</v>
      </c>
      <c r="C139" s="3">
        <v>51012.82</v>
      </c>
      <c r="D139" s="4">
        <v>153038.46</v>
      </c>
      <c r="E139" s="4">
        <v>51012.82</v>
      </c>
      <c r="F139" s="4">
        <v>92182.01400000001</v>
      </c>
    </row>
    <row r="140" spans="1:6" x14ac:dyDescent="0.2">
      <c r="A140" s="3" t="s">
        <v>13</v>
      </c>
      <c r="B140" s="3" t="s">
        <v>20</v>
      </c>
      <c r="C140" s="3">
        <v>62318.39</v>
      </c>
      <c r="D140" s="4">
        <v>186955.17</v>
      </c>
      <c r="E140" s="4">
        <v>62318.39</v>
      </c>
      <c r="F140" s="4">
        <v>92182.01400000001</v>
      </c>
    </row>
    <row r="141" spans="1:6" x14ac:dyDescent="0.2">
      <c r="A141" s="3" t="s">
        <v>7</v>
      </c>
      <c r="B141" s="3" t="s">
        <v>19</v>
      </c>
      <c r="C141" s="3">
        <v>50976.7</v>
      </c>
      <c r="D141" s="4">
        <v>152930.1</v>
      </c>
      <c r="E141" s="4">
        <v>50976.7</v>
      </c>
      <c r="F141" s="4">
        <v>101747.052</v>
      </c>
    </row>
    <row r="142" spans="1:6" x14ac:dyDescent="0.2">
      <c r="A142" s="3" t="s">
        <v>9</v>
      </c>
      <c r="B142" s="3" t="s">
        <v>19</v>
      </c>
      <c r="C142" s="3">
        <v>56811.14</v>
      </c>
      <c r="D142" s="4">
        <v>170433.42</v>
      </c>
      <c r="E142" s="4">
        <v>56811.14</v>
      </c>
      <c r="F142" s="4">
        <v>101747.052</v>
      </c>
    </row>
    <row r="143" spans="1:6" x14ac:dyDescent="0.2">
      <c r="A143" s="3" t="s">
        <v>10</v>
      </c>
      <c r="B143" s="3" t="s">
        <v>19</v>
      </c>
      <c r="C143" s="3">
        <v>41255.74</v>
      </c>
      <c r="D143" s="4">
        <v>123767.22</v>
      </c>
      <c r="E143" s="4">
        <v>41255.74</v>
      </c>
      <c r="F143" s="4">
        <v>101747.052</v>
      </c>
    </row>
    <row r="144" spans="1:6" x14ac:dyDescent="0.2">
      <c r="A144" s="3" t="s">
        <v>11</v>
      </c>
      <c r="B144" s="3" t="s">
        <v>19</v>
      </c>
      <c r="C144" s="3">
        <v>45713.5</v>
      </c>
      <c r="D144" s="4">
        <v>137140.5</v>
      </c>
      <c r="E144" s="4">
        <v>45713.5</v>
      </c>
      <c r="F144" s="4">
        <v>101747.052</v>
      </c>
    </row>
    <row r="145" spans="1:6" x14ac:dyDescent="0.2">
      <c r="A145" s="3" t="s">
        <v>12</v>
      </c>
      <c r="B145" s="3" t="s">
        <v>19</v>
      </c>
      <c r="C145" s="3">
        <v>54893.34</v>
      </c>
      <c r="D145" s="4">
        <v>164680.01999999999</v>
      </c>
      <c r="E145" s="4">
        <v>54893.34</v>
      </c>
      <c r="F145" s="4">
        <v>101747.052</v>
      </c>
    </row>
    <row r="146" spans="1:6" x14ac:dyDescent="0.2">
      <c r="A146" s="3" t="s">
        <v>13</v>
      </c>
      <c r="B146" s="3" t="s">
        <v>19</v>
      </c>
      <c r="C146" s="3">
        <v>64297.760000000002</v>
      </c>
      <c r="D146" s="4">
        <v>192893.28</v>
      </c>
      <c r="E146" s="4">
        <v>64297.760000000002</v>
      </c>
      <c r="F146" s="4">
        <v>101747.052</v>
      </c>
    </row>
    <row r="147" spans="1:6" x14ac:dyDescent="0.2">
      <c r="A147" s="3" t="s">
        <v>7</v>
      </c>
      <c r="B147" s="3" t="s">
        <v>17</v>
      </c>
      <c r="C147" s="3">
        <v>51294.75</v>
      </c>
      <c r="D147" s="4">
        <v>153884.25</v>
      </c>
      <c r="E147" s="4">
        <v>51294.75</v>
      </c>
      <c r="F147" s="4">
        <v>83740.842000000004</v>
      </c>
    </row>
    <row r="148" spans="1:6" x14ac:dyDescent="0.2">
      <c r="A148" s="3" t="s">
        <v>9</v>
      </c>
      <c r="B148" s="3" t="s">
        <v>17</v>
      </c>
      <c r="C148" s="3">
        <v>43303.51</v>
      </c>
      <c r="D148" s="4">
        <v>129910.53</v>
      </c>
      <c r="E148" s="4">
        <v>43303.51</v>
      </c>
      <c r="F148" s="4">
        <v>83740.842000000004</v>
      </c>
    </row>
    <row r="149" spans="1:6" x14ac:dyDescent="0.2">
      <c r="A149" s="3" t="s">
        <v>10</v>
      </c>
      <c r="B149" s="3" t="s">
        <v>17</v>
      </c>
      <c r="C149" s="3">
        <v>49057.11</v>
      </c>
      <c r="D149" s="4">
        <v>147171.32999999999</v>
      </c>
      <c r="E149" s="4">
        <v>49057.11</v>
      </c>
      <c r="F149" s="4">
        <v>83740.842000000004</v>
      </c>
    </row>
    <row r="150" spans="1:6" x14ac:dyDescent="0.2">
      <c r="A150" s="3" t="s">
        <v>11</v>
      </c>
      <c r="B150" s="3" t="s">
        <v>17</v>
      </c>
      <c r="C150" s="3">
        <v>71149.88</v>
      </c>
      <c r="D150" s="4">
        <v>213449.64</v>
      </c>
      <c r="E150" s="4">
        <v>71149.88</v>
      </c>
      <c r="F150" s="4">
        <v>83740.842000000004</v>
      </c>
    </row>
    <row r="151" spans="1:6" x14ac:dyDescent="0.2">
      <c r="A151" s="3" t="s">
        <v>12</v>
      </c>
      <c r="B151" s="3" t="s">
        <v>17</v>
      </c>
      <c r="C151" s="3">
        <v>56982.48</v>
      </c>
      <c r="D151" s="4">
        <v>170947.44</v>
      </c>
      <c r="E151" s="4">
        <v>56982.48</v>
      </c>
      <c r="F151" s="4">
        <v>83740.842000000004</v>
      </c>
    </row>
    <row r="152" spans="1:6" x14ac:dyDescent="0.2">
      <c r="A152" s="3" t="s">
        <v>13</v>
      </c>
      <c r="B152" s="3" t="s">
        <v>17</v>
      </c>
      <c r="C152" s="3">
        <v>76444.69</v>
      </c>
      <c r="D152" s="4">
        <v>229334.07</v>
      </c>
      <c r="E152" s="4">
        <v>76444.69</v>
      </c>
      <c r="F152" s="4">
        <v>83740.842000000004</v>
      </c>
    </row>
    <row r="153" spans="1:6" x14ac:dyDescent="0.2">
      <c r="A153" s="3" t="s">
        <v>7</v>
      </c>
      <c r="B153" s="3" t="s">
        <v>16</v>
      </c>
      <c r="C153" s="3">
        <v>48610.31</v>
      </c>
      <c r="D153" s="4">
        <v>145830.93</v>
      </c>
      <c r="E153" s="4">
        <v>48610.31</v>
      </c>
      <c r="F153" s="4">
        <v>94304.313000000009</v>
      </c>
    </row>
    <row r="154" spans="1:6" x14ac:dyDescent="0.2">
      <c r="A154" s="3" t="s">
        <v>9</v>
      </c>
      <c r="B154" s="3" t="s">
        <v>16</v>
      </c>
      <c r="C154" s="3">
        <v>47598.97</v>
      </c>
      <c r="D154" s="4">
        <v>142796.91</v>
      </c>
      <c r="E154" s="4">
        <v>47598.97</v>
      </c>
      <c r="F154" s="4">
        <v>94304.313000000009</v>
      </c>
    </row>
    <row r="155" spans="1:6" x14ac:dyDescent="0.2">
      <c r="A155" s="3" t="s">
        <v>10</v>
      </c>
      <c r="B155" s="3" t="s">
        <v>16</v>
      </c>
      <c r="C155" s="3">
        <v>36076.94</v>
      </c>
      <c r="D155" s="4">
        <v>108230.82</v>
      </c>
      <c r="E155" s="4">
        <v>36076.94</v>
      </c>
      <c r="F155" s="4">
        <v>94304.313000000009</v>
      </c>
    </row>
    <row r="156" spans="1:6" x14ac:dyDescent="0.2">
      <c r="A156" s="3" t="s">
        <v>11</v>
      </c>
      <c r="B156" s="3" t="s">
        <v>16</v>
      </c>
      <c r="C156" s="3">
        <v>43486.92</v>
      </c>
      <c r="D156" s="4">
        <v>130460.76</v>
      </c>
      <c r="E156" s="4">
        <v>43486.92</v>
      </c>
      <c r="F156" s="4">
        <v>94304.313000000009</v>
      </c>
    </row>
    <row r="157" spans="1:6" x14ac:dyDescent="0.2">
      <c r="A157" s="3" t="s">
        <v>12</v>
      </c>
      <c r="B157" s="3" t="s">
        <v>16</v>
      </c>
      <c r="C157" s="3">
        <v>62199.91</v>
      </c>
      <c r="D157" s="4">
        <v>186599.73</v>
      </c>
      <c r="E157" s="4">
        <v>62199.91</v>
      </c>
      <c r="F157" s="4">
        <v>94304.313000000009</v>
      </c>
    </row>
    <row r="158" spans="1:6" x14ac:dyDescent="0.2">
      <c r="A158" s="3" t="s">
        <v>13</v>
      </c>
      <c r="B158" s="3" t="s">
        <v>16</v>
      </c>
      <c r="C158" s="3">
        <v>54261.32</v>
      </c>
      <c r="D158" s="4">
        <v>162783.96</v>
      </c>
      <c r="E158" s="4">
        <v>54261.32</v>
      </c>
      <c r="F158" s="4">
        <v>94304.313000000009</v>
      </c>
    </row>
    <row r="159" spans="1:6" x14ac:dyDescent="0.2">
      <c r="A159" s="3" t="s">
        <v>7</v>
      </c>
      <c r="B159" s="3" t="s">
        <v>15</v>
      </c>
      <c r="C159" s="3">
        <v>31845.17</v>
      </c>
      <c r="D159" s="4">
        <v>95535.51</v>
      </c>
      <c r="E159" s="4">
        <v>31845.17</v>
      </c>
      <c r="F159" s="4">
        <v>95796.692999999999</v>
      </c>
    </row>
    <row r="160" spans="1:6" x14ac:dyDescent="0.2">
      <c r="A160" s="3" t="s">
        <v>9</v>
      </c>
      <c r="B160" s="3" t="s">
        <v>15</v>
      </c>
      <c r="C160" s="3">
        <v>46242.62</v>
      </c>
      <c r="D160" s="4">
        <v>138727.85999999999</v>
      </c>
      <c r="E160" s="4">
        <v>46242.62</v>
      </c>
      <c r="F160" s="4">
        <v>95796.692999999999</v>
      </c>
    </row>
    <row r="161" spans="1:6" x14ac:dyDescent="0.2">
      <c r="A161" s="3" t="s">
        <v>10</v>
      </c>
      <c r="B161" s="3" t="s">
        <v>15</v>
      </c>
      <c r="C161" s="3">
        <v>40130.79</v>
      </c>
      <c r="D161" s="4">
        <v>120392.37</v>
      </c>
      <c r="E161" s="4">
        <v>40130.79</v>
      </c>
      <c r="F161" s="4">
        <v>95796.692999999999</v>
      </c>
    </row>
    <row r="162" spans="1:6" x14ac:dyDescent="0.2">
      <c r="A162" s="3" t="s">
        <v>11</v>
      </c>
      <c r="B162" s="3" t="s">
        <v>15</v>
      </c>
      <c r="C162" s="3">
        <v>44619.48</v>
      </c>
      <c r="D162" s="4">
        <v>133858.44</v>
      </c>
      <c r="E162" s="4">
        <v>44619.48</v>
      </c>
      <c r="F162" s="4">
        <v>95796.692999999999</v>
      </c>
    </row>
    <row r="163" spans="1:6" x14ac:dyDescent="0.2">
      <c r="A163" s="3" t="s">
        <v>12</v>
      </c>
      <c r="B163" s="3" t="s">
        <v>15</v>
      </c>
      <c r="C163" s="3">
        <v>38026.949999999997</v>
      </c>
      <c r="D163" s="4">
        <v>114080.85</v>
      </c>
      <c r="E163" s="4">
        <v>38026.949999999997</v>
      </c>
      <c r="F163" s="4">
        <v>95796.692999999999</v>
      </c>
    </row>
    <row r="164" spans="1:6" x14ac:dyDescent="0.2">
      <c r="A164" s="3" t="s">
        <v>13</v>
      </c>
      <c r="B164" s="3" t="s">
        <v>15</v>
      </c>
      <c r="C164" s="3">
        <v>47232.83</v>
      </c>
      <c r="D164" s="4">
        <v>141698.49</v>
      </c>
      <c r="E164" s="4">
        <v>47232.83</v>
      </c>
      <c r="F164" s="4">
        <v>95796.692999999999</v>
      </c>
    </row>
    <row r="165" spans="1:6" x14ac:dyDescent="0.2">
      <c r="A165" s="3" t="s">
        <v>7</v>
      </c>
      <c r="B165" s="3" t="s">
        <v>18</v>
      </c>
      <c r="C165" s="3">
        <v>72791.539999999994</v>
      </c>
      <c r="D165" s="4">
        <v>218374.62</v>
      </c>
      <c r="E165" s="4">
        <v>72791.539999999994</v>
      </c>
      <c r="F165" s="4">
        <v>99634.98599999999</v>
      </c>
    </row>
    <row r="166" spans="1:6" x14ac:dyDescent="0.2">
      <c r="A166" s="3" t="s">
        <v>9</v>
      </c>
      <c r="B166" s="3" t="s">
        <v>18</v>
      </c>
      <c r="C166" s="3">
        <v>65362.78</v>
      </c>
      <c r="D166" s="4">
        <v>196088.34</v>
      </c>
      <c r="E166" s="4">
        <v>65362.78</v>
      </c>
      <c r="F166" s="4">
        <v>99634.98599999999</v>
      </c>
    </row>
    <row r="167" spans="1:6" x14ac:dyDescent="0.2">
      <c r="A167" s="3" t="s">
        <v>10</v>
      </c>
      <c r="B167" s="3" t="s">
        <v>18</v>
      </c>
      <c r="C167" s="3">
        <v>63281.75</v>
      </c>
      <c r="D167" s="4">
        <v>189845.25</v>
      </c>
      <c r="E167" s="4">
        <v>63281.75</v>
      </c>
      <c r="F167" s="4">
        <v>99634.98599999999</v>
      </c>
    </row>
    <row r="168" spans="1:6" x14ac:dyDescent="0.2">
      <c r="A168" s="3" t="s">
        <v>11</v>
      </c>
      <c r="B168" s="3" t="s">
        <v>18</v>
      </c>
      <c r="C168" s="3">
        <v>72038.34</v>
      </c>
      <c r="D168" s="4">
        <v>216115.02</v>
      </c>
      <c r="E168" s="4">
        <v>72038.34</v>
      </c>
      <c r="F168" s="4">
        <v>99634.98599999999</v>
      </c>
    </row>
    <row r="169" spans="1:6" x14ac:dyDescent="0.2">
      <c r="A169" s="3" t="s">
        <v>12</v>
      </c>
      <c r="B169" s="3" t="s">
        <v>18</v>
      </c>
      <c r="C169" s="3">
        <v>61540.62</v>
      </c>
      <c r="D169" s="4">
        <v>184621.86</v>
      </c>
      <c r="E169" s="4">
        <v>61540.62</v>
      </c>
      <c r="F169" s="4">
        <v>99634.98599999999</v>
      </c>
    </row>
    <row r="170" spans="1:6" x14ac:dyDescent="0.2">
      <c r="A170" s="3" t="s">
        <v>13</v>
      </c>
      <c r="B170" s="3" t="s">
        <v>18</v>
      </c>
      <c r="C170" s="3">
        <v>79493.13</v>
      </c>
      <c r="D170" s="4">
        <v>238479.39</v>
      </c>
      <c r="E170" s="4">
        <v>79493.13</v>
      </c>
      <c r="F170" s="4">
        <v>99634.98599999999</v>
      </c>
    </row>
    <row r="171" spans="1:6" x14ac:dyDescent="0.2">
      <c r="A171" s="3" t="s">
        <v>7</v>
      </c>
      <c r="B171" s="3" t="s">
        <v>14</v>
      </c>
      <c r="C171" s="3">
        <v>44135.25</v>
      </c>
      <c r="D171" s="4">
        <v>132405.75</v>
      </c>
      <c r="E171" s="4">
        <v>44135.25</v>
      </c>
      <c r="F171" s="4">
        <v>92194.631999999998</v>
      </c>
    </row>
    <row r="172" spans="1:6" x14ac:dyDescent="0.2">
      <c r="A172" s="3" t="s">
        <v>9</v>
      </c>
      <c r="B172" s="3" t="s">
        <v>14</v>
      </c>
      <c r="C172" s="3">
        <v>47340.26</v>
      </c>
      <c r="D172" s="4">
        <v>142020.78</v>
      </c>
      <c r="E172" s="4">
        <v>47340.26</v>
      </c>
      <c r="F172" s="4">
        <v>92194.631999999998</v>
      </c>
    </row>
    <row r="173" spans="1:6" x14ac:dyDescent="0.2">
      <c r="A173" s="3" t="s">
        <v>10</v>
      </c>
      <c r="B173" s="3" t="s">
        <v>14</v>
      </c>
      <c r="C173" s="3">
        <v>40648.5</v>
      </c>
      <c r="D173" s="4">
        <v>121945.5</v>
      </c>
      <c r="E173" s="4">
        <v>40648.5</v>
      </c>
      <c r="F173" s="4">
        <v>92194.631999999998</v>
      </c>
    </row>
    <row r="174" spans="1:6" x14ac:dyDescent="0.2">
      <c r="A174" s="3" t="s">
        <v>11</v>
      </c>
      <c r="B174" s="3" t="s">
        <v>14</v>
      </c>
      <c r="C174" s="3">
        <v>53415.53</v>
      </c>
      <c r="D174" s="4">
        <v>160246.59</v>
      </c>
      <c r="E174" s="4">
        <v>53415.53</v>
      </c>
      <c r="F174" s="4">
        <v>92194.631999999998</v>
      </c>
    </row>
    <row r="175" spans="1:6" x14ac:dyDescent="0.2">
      <c r="A175" s="3" t="s">
        <v>12</v>
      </c>
      <c r="B175" s="3" t="s">
        <v>14</v>
      </c>
      <c r="C175" s="3">
        <v>53244.69</v>
      </c>
      <c r="D175" s="4">
        <v>159734.07</v>
      </c>
      <c r="E175" s="4">
        <v>53244.69</v>
      </c>
      <c r="F175" s="4">
        <v>92194.631999999998</v>
      </c>
    </row>
    <row r="176" spans="1:6" x14ac:dyDescent="0.2">
      <c r="A176" s="3" t="s">
        <v>13</v>
      </c>
      <c r="B176" s="3" t="s">
        <v>14</v>
      </c>
      <c r="C176" s="3">
        <v>61465.64</v>
      </c>
      <c r="D176" s="4">
        <v>184396.92</v>
      </c>
      <c r="E176" s="4">
        <v>61465.64</v>
      </c>
      <c r="F176" s="4">
        <v>92194.631999999998</v>
      </c>
    </row>
    <row r="177" spans="1:6" x14ac:dyDescent="0.2">
      <c r="A177" s="3" t="s">
        <v>7</v>
      </c>
      <c r="B177" s="3" t="s">
        <v>16</v>
      </c>
      <c r="C177" s="3">
        <v>50547.79</v>
      </c>
      <c r="D177" s="4">
        <v>151643.37</v>
      </c>
      <c r="E177" s="4">
        <v>50547.79</v>
      </c>
      <c r="F177" s="4">
        <v>94304.313000000009</v>
      </c>
    </row>
    <row r="178" spans="1:6" x14ac:dyDescent="0.2">
      <c r="A178" s="3" t="s">
        <v>9</v>
      </c>
      <c r="B178" s="3" t="s">
        <v>16</v>
      </c>
      <c r="C178" s="3">
        <v>40488.29</v>
      </c>
      <c r="D178" s="4">
        <v>121464.87</v>
      </c>
      <c r="E178" s="4">
        <v>40488.29</v>
      </c>
      <c r="F178" s="4">
        <v>94304.313000000009</v>
      </c>
    </row>
    <row r="179" spans="1:6" x14ac:dyDescent="0.2">
      <c r="A179" s="3" t="s">
        <v>10</v>
      </c>
      <c r="B179" s="3" t="s">
        <v>16</v>
      </c>
      <c r="C179" s="3">
        <v>50540.959999999999</v>
      </c>
      <c r="D179" s="4">
        <v>151622.88</v>
      </c>
      <c r="E179" s="4">
        <v>50540.959999999999</v>
      </c>
      <c r="F179" s="4">
        <v>94304.313000000009</v>
      </c>
    </row>
    <row r="180" spans="1:6" x14ac:dyDescent="0.2">
      <c r="A180" s="3" t="s">
        <v>11</v>
      </c>
      <c r="B180" s="3" t="s">
        <v>16</v>
      </c>
      <c r="C180" s="3">
        <v>45605.66</v>
      </c>
      <c r="D180" s="4">
        <v>136816.98000000001</v>
      </c>
      <c r="E180" s="4">
        <v>45605.66</v>
      </c>
      <c r="F180" s="4">
        <v>94304.313000000009</v>
      </c>
    </row>
    <row r="181" spans="1:6" x14ac:dyDescent="0.2">
      <c r="A181" s="3" t="s">
        <v>12</v>
      </c>
      <c r="B181" s="3" t="s">
        <v>16</v>
      </c>
      <c r="C181" s="3">
        <v>66260.87</v>
      </c>
      <c r="D181" s="4">
        <v>198782.61</v>
      </c>
      <c r="E181" s="4">
        <v>66260.87</v>
      </c>
      <c r="F181" s="4">
        <v>94304.313000000009</v>
      </c>
    </row>
    <row r="182" spans="1:6" x14ac:dyDescent="0.2">
      <c r="A182" s="3" t="s">
        <v>13</v>
      </c>
      <c r="B182" s="3" t="s">
        <v>16</v>
      </c>
      <c r="C182" s="3">
        <v>54557.95</v>
      </c>
      <c r="D182" s="4">
        <v>163673.85</v>
      </c>
      <c r="E182" s="4">
        <v>54557.95</v>
      </c>
      <c r="F182" s="4">
        <v>94304.313000000009</v>
      </c>
    </row>
    <row r="183" spans="1:6" x14ac:dyDescent="0.2">
      <c r="A183" s="3" t="s">
        <v>7</v>
      </c>
      <c r="B183" s="3" t="s">
        <v>21</v>
      </c>
      <c r="C183" s="3">
        <v>40843.03</v>
      </c>
      <c r="D183" s="4">
        <v>122529.09</v>
      </c>
      <c r="E183" s="4">
        <v>40843.03</v>
      </c>
      <c r="F183" s="4">
        <v>100474.88400000001</v>
      </c>
    </row>
    <row r="184" spans="1:6" x14ac:dyDescent="0.2">
      <c r="A184" s="3" t="s">
        <v>9</v>
      </c>
      <c r="B184" s="3" t="s">
        <v>21</v>
      </c>
      <c r="C184" s="3">
        <v>44195.23</v>
      </c>
      <c r="D184" s="4">
        <v>132585.69</v>
      </c>
      <c r="E184" s="4">
        <v>44195.23</v>
      </c>
      <c r="F184" s="4">
        <v>100474.88400000001</v>
      </c>
    </row>
    <row r="185" spans="1:6" x14ac:dyDescent="0.2">
      <c r="A185" s="3" t="s">
        <v>10</v>
      </c>
      <c r="B185" s="3" t="s">
        <v>21</v>
      </c>
      <c r="C185" s="3">
        <v>62132.42</v>
      </c>
      <c r="D185" s="4">
        <v>186397.26</v>
      </c>
      <c r="E185" s="4">
        <v>62132.42</v>
      </c>
      <c r="F185" s="4">
        <v>100474.88400000001</v>
      </c>
    </row>
    <row r="186" spans="1:6" x14ac:dyDescent="0.2">
      <c r="A186" s="3" t="s">
        <v>11</v>
      </c>
      <c r="B186" s="3" t="s">
        <v>21</v>
      </c>
      <c r="C186" s="3">
        <v>58263.07</v>
      </c>
      <c r="D186" s="4">
        <v>174789.21</v>
      </c>
      <c r="E186" s="4">
        <v>58263.07</v>
      </c>
      <c r="F186" s="4">
        <v>100474.88400000001</v>
      </c>
    </row>
    <row r="187" spans="1:6" x14ac:dyDescent="0.2">
      <c r="A187" s="3" t="s">
        <v>12</v>
      </c>
      <c r="B187" s="3" t="s">
        <v>21</v>
      </c>
      <c r="C187" s="3">
        <v>44855.48</v>
      </c>
      <c r="D187" s="4">
        <v>134566.44</v>
      </c>
      <c r="E187" s="4">
        <v>44855.48</v>
      </c>
      <c r="F187" s="4">
        <v>100474.88400000001</v>
      </c>
    </row>
    <row r="188" spans="1:6" x14ac:dyDescent="0.2">
      <c r="A188" s="3" t="s">
        <v>13</v>
      </c>
      <c r="B188" s="3" t="s">
        <v>21</v>
      </c>
      <c r="C188" s="3">
        <v>66767.360000000001</v>
      </c>
      <c r="D188" s="4">
        <v>200302.07999999999</v>
      </c>
      <c r="E188" s="4">
        <v>66767.360000000001</v>
      </c>
      <c r="F188" s="4">
        <v>100474.88400000001</v>
      </c>
    </row>
    <row r="189" spans="1:6" x14ac:dyDescent="0.2">
      <c r="A189" s="3" t="s">
        <v>7</v>
      </c>
      <c r="B189" s="3" t="s">
        <v>16</v>
      </c>
      <c r="C189" s="3">
        <v>55458.95</v>
      </c>
      <c r="D189" s="4">
        <v>166376.85</v>
      </c>
      <c r="E189" s="4">
        <v>55458.95</v>
      </c>
      <c r="F189" s="4">
        <v>94304.313000000009</v>
      </c>
    </row>
    <row r="190" spans="1:6" x14ac:dyDescent="0.2">
      <c r="A190" s="3" t="s">
        <v>9</v>
      </c>
      <c r="B190" s="3" t="s">
        <v>16</v>
      </c>
      <c r="C190" s="3">
        <v>75441.02</v>
      </c>
      <c r="D190" s="4">
        <v>226323.06</v>
      </c>
      <c r="E190" s="4">
        <v>75441.02</v>
      </c>
      <c r="F190" s="4">
        <v>94304.313000000009</v>
      </c>
    </row>
    <row r="191" spans="1:6" x14ac:dyDescent="0.2">
      <c r="A191" s="3" t="s">
        <v>10</v>
      </c>
      <c r="B191" s="3" t="s">
        <v>16</v>
      </c>
      <c r="C191" s="3">
        <v>58247.17</v>
      </c>
      <c r="D191" s="4">
        <v>174741.51</v>
      </c>
      <c r="E191" s="4">
        <v>58247.17</v>
      </c>
      <c r="F191" s="4">
        <v>94304.313000000009</v>
      </c>
    </row>
    <row r="192" spans="1:6" x14ac:dyDescent="0.2">
      <c r="A192" s="3" t="s">
        <v>11</v>
      </c>
      <c r="B192" s="3" t="s">
        <v>16</v>
      </c>
      <c r="C192" s="3">
        <v>60109.61</v>
      </c>
      <c r="D192" s="4">
        <v>180328.83</v>
      </c>
      <c r="E192" s="4">
        <v>60109.61</v>
      </c>
      <c r="F192" s="4">
        <v>94304.313000000009</v>
      </c>
    </row>
    <row r="193" spans="1:6" x14ac:dyDescent="0.2">
      <c r="A193" s="3" t="s">
        <v>12</v>
      </c>
      <c r="B193" s="3" t="s">
        <v>16</v>
      </c>
      <c r="C193" s="3">
        <v>74829.429999999993</v>
      </c>
      <c r="D193" s="4">
        <v>224488.29</v>
      </c>
      <c r="E193" s="4">
        <v>74829.429999999993</v>
      </c>
      <c r="F193" s="4">
        <v>94304.313000000009</v>
      </c>
    </row>
    <row r="194" spans="1:6" x14ac:dyDescent="0.2">
      <c r="A194" s="3" t="s">
        <v>13</v>
      </c>
      <c r="B194" s="3" t="s">
        <v>16</v>
      </c>
      <c r="C194" s="3">
        <v>82720.42</v>
      </c>
      <c r="D194" s="4">
        <v>248161.26</v>
      </c>
      <c r="E194" s="4">
        <v>82720.42</v>
      </c>
      <c r="F194" s="4">
        <v>94304.313000000009</v>
      </c>
    </row>
    <row r="195" spans="1:6" x14ac:dyDescent="0.2">
      <c r="A195" s="3" t="s">
        <v>7</v>
      </c>
      <c r="B195" s="3" t="s">
        <v>16</v>
      </c>
      <c r="C195" s="3">
        <v>59484.49</v>
      </c>
      <c r="D195" s="4">
        <v>178453.47</v>
      </c>
      <c r="E195" s="4">
        <v>59484.49</v>
      </c>
      <c r="F195" s="4">
        <v>94304.313000000009</v>
      </c>
    </row>
    <row r="196" spans="1:6" x14ac:dyDescent="0.2">
      <c r="A196" s="3" t="s">
        <v>9</v>
      </c>
      <c r="B196" s="3" t="s">
        <v>16</v>
      </c>
      <c r="C196" s="3">
        <v>53296.05</v>
      </c>
      <c r="D196" s="4">
        <v>159888.15</v>
      </c>
      <c r="E196" s="4">
        <v>53296.05</v>
      </c>
      <c r="F196" s="4">
        <v>94304.313000000009</v>
      </c>
    </row>
    <row r="197" spans="1:6" x14ac:dyDescent="0.2">
      <c r="A197" s="3" t="s">
        <v>10</v>
      </c>
      <c r="B197" s="3" t="s">
        <v>16</v>
      </c>
      <c r="C197" s="3">
        <v>41340.29</v>
      </c>
      <c r="D197" s="4">
        <v>124020.87</v>
      </c>
      <c r="E197" s="4">
        <v>41340.29</v>
      </c>
      <c r="F197" s="4">
        <v>94304.313000000009</v>
      </c>
    </row>
    <row r="198" spans="1:6" x14ac:dyDescent="0.2">
      <c r="A198" s="3" t="s">
        <v>11</v>
      </c>
      <c r="B198" s="3" t="s">
        <v>16</v>
      </c>
      <c r="C198" s="3">
        <v>57620.73</v>
      </c>
      <c r="D198" s="4">
        <v>172862.19</v>
      </c>
      <c r="E198" s="4">
        <v>57620.73</v>
      </c>
      <c r="F198" s="4">
        <v>94304.313000000009</v>
      </c>
    </row>
    <row r="199" spans="1:6" x14ac:dyDescent="0.2">
      <c r="A199" s="3" t="s">
        <v>12</v>
      </c>
      <c r="B199" s="3" t="s">
        <v>16</v>
      </c>
      <c r="C199" s="3">
        <v>51686.39</v>
      </c>
      <c r="D199" s="4">
        <v>155059.17000000001</v>
      </c>
      <c r="E199" s="4">
        <v>51686.39</v>
      </c>
      <c r="F199" s="4">
        <v>94304.313000000009</v>
      </c>
    </row>
    <row r="200" spans="1:6" x14ac:dyDescent="0.2">
      <c r="A200" s="3" t="s">
        <v>13</v>
      </c>
      <c r="B200" s="3" t="s">
        <v>16</v>
      </c>
      <c r="C200" s="3">
        <v>57064.21</v>
      </c>
      <c r="D200" s="4">
        <v>171192.63</v>
      </c>
      <c r="E200" s="4">
        <v>57064.21</v>
      </c>
      <c r="F200" s="4">
        <v>94304.313000000009</v>
      </c>
    </row>
    <row r="201" spans="1:6" x14ac:dyDescent="0.2">
      <c r="A201" s="3" t="s">
        <v>7</v>
      </c>
      <c r="B201" s="3" t="s">
        <v>8</v>
      </c>
      <c r="C201" s="3">
        <v>52205.48</v>
      </c>
      <c r="D201" s="4">
        <v>156616.44</v>
      </c>
      <c r="E201" s="4">
        <v>52205.48</v>
      </c>
      <c r="F201" s="4">
        <v>91734.462</v>
      </c>
    </row>
    <row r="202" spans="1:6" x14ac:dyDescent="0.2">
      <c r="A202" s="3" t="s">
        <v>9</v>
      </c>
      <c r="B202" s="3" t="s">
        <v>8</v>
      </c>
      <c r="C202" s="3">
        <v>62256.84</v>
      </c>
      <c r="D202" s="4">
        <v>186770.52</v>
      </c>
      <c r="E202" s="4">
        <v>62256.84</v>
      </c>
      <c r="F202" s="4">
        <v>91734.462</v>
      </c>
    </row>
    <row r="203" spans="1:6" x14ac:dyDescent="0.2">
      <c r="A203" s="3" t="s">
        <v>10</v>
      </c>
      <c r="B203" s="3" t="s">
        <v>8</v>
      </c>
      <c r="C203" s="3">
        <v>57334.09</v>
      </c>
      <c r="D203" s="4">
        <v>172002.27</v>
      </c>
      <c r="E203" s="4">
        <v>57334.09</v>
      </c>
      <c r="F203" s="4">
        <v>91734.462</v>
      </c>
    </row>
    <row r="204" spans="1:6" x14ac:dyDescent="0.2">
      <c r="A204" s="3" t="s">
        <v>11</v>
      </c>
      <c r="B204" s="3" t="s">
        <v>8</v>
      </c>
      <c r="C204" s="3">
        <v>67349.429999999993</v>
      </c>
      <c r="D204" s="4">
        <v>202048.29</v>
      </c>
      <c r="E204" s="4">
        <v>67349.429999999993</v>
      </c>
      <c r="F204" s="4">
        <v>91734.462</v>
      </c>
    </row>
    <row r="205" spans="1:6" x14ac:dyDescent="0.2">
      <c r="A205" s="3" t="s">
        <v>12</v>
      </c>
      <c r="B205" s="3" t="s">
        <v>8</v>
      </c>
      <c r="C205" s="3">
        <v>47620.73</v>
      </c>
      <c r="D205" s="4">
        <v>142862.19</v>
      </c>
      <c r="E205" s="4">
        <v>47620.73</v>
      </c>
      <c r="F205" s="4">
        <v>91734.462</v>
      </c>
    </row>
    <row r="206" spans="1:6" x14ac:dyDescent="0.2">
      <c r="A206" s="3" t="s">
        <v>13</v>
      </c>
      <c r="B206" s="3" t="s">
        <v>8</v>
      </c>
      <c r="C206" s="3">
        <v>64151.5</v>
      </c>
      <c r="D206" s="4">
        <v>192454.5</v>
      </c>
      <c r="E206" s="4">
        <v>64151.5</v>
      </c>
      <c r="F206" s="4">
        <v>91734.462</v>
      </c>
    </row>
    <row r="207" spans="1:6" x14ac:dyDescent="0.2">
      <c r="A207" s="3" t="s">
        <v>7</v>
      </c>
      <c r="B207" s="3" t="s">
        <v>18</v>
      </c>
      <c r="C207" s="3">
        <v>48927.06</v>
      </c>
      <c r="D207" s="4">
        <v>146781.18</v>
      </c>
      <c r="E207" s="4">
        <v>48927.06</v>
      </c>
      <c r="F207" s="4">
        <v>99634.98599999999</v>
      </c>
    </row>
    <row r="208" spans="1:6" x14ac:dyDescent="0.2">
      <c r="A208" s="3" t="s">
        <v>9</v>
      </c>
      <c r="B208" s="3" t="s">
        <v>18</v>
      </c>
      <c r="C208" s="3">
        <v>52661.97</v>
      </c>
      <c r="D208" s="4">
        <v>157985.91</v>
      </c>
      <c r="E208" s="4">
        <v>52661.97</v>
      </c>
      <c r="F208" s="4">
        <v>99634.98599999999</v>
      </c>
    </row>
    <row r="209" spans="1:6" x14ac:dyDescent="0.2">
      <c r="A209" s="3" t="s">
        <v>10</v>
      </c>
      <c r="B209" s="3" t="s">
        <v>18</v>
      </c>
      <c r="C209" s="3">
        <v>68932.28</v>
      </c>
      <c r="D209" s="4">
        <v>206796.84</v>
      </c>
      <c r="E209" s="4">
        <v>68932.28</v>
      </c>
      <c r="F209" s="4">
        <v>99634.98599999999</v>
      </c>
    </row>
    <row r="210" spans="1:6" x14ac:dyDescent="0.2">
      <c r="A210" s="3" t="s">
        <v>11</v>
      </c>
      <c r="B210" s="3" t="s">
        <v>18</v>
      </c>
      <c r="C210" s="3">
        <v>71693.94</v>
      </c>
      <c r="D210" s="4">
        <v>215081.82</v>
      </c>
      <c r="E210" s="4">
        <v>71693.94</v>
      </c>
      <c r="F210" s="4">
        <v>99634.98599999999</v>
      </c>
    </row>
    <row r="211" spans="1:6" x14ac:dyDescent="0.2">
      <c r="A211" s="3" t="s">
        <v>12</v>
      </c>
      <c r="B211" s="3" t="s">
        <v>18</v>
      </c>
      <c r="C211" s="3">
        <v>68744.479999999996</v>
      </c>
      <c r="D211" s="4">
        <v>206233.44</v>
      </c>
      <c r="E211" s="4">
        <v>68744.479999999996</v>
      </c>
      <c r="F211" s="4">
        <v>99634.98599999999</v>
      </c>
    </row>
    <row r="212" spans="1:6" x14ac:dyDescent="0.2">
      <c r="A212" s="3" t="s">
        <v>13</v>
      </c>
      <c r="B212" s="3" t="s">
        <v>18</v>
      </c>
      <c r="C212" s="3">
        <v>60159.79</v>
      </c>
      <c r="D212" s="4">
        <v>180479.37</v>
      </c>
      <c r="E212" s="4">
        <v>60159.79</v>
      </c>
      <c r="F212" s="4">
        <v>99634.98599999999</v>
      </c>
    </row>
    <row r="213" spans="1:6" x14ac:dyDescent="0.2">
      <c r="A213" s="3" t="s">
        <v>7</v>
      </c>
      <c r="B213" s="3" t="s">
        <v>15</v>
      </c>
      <c r="C213" s="3">
        <v>64702.73</v>
      </c>
      <c r="D213" s="4">
        <v>194108.19</v>
      </c>
      <c r="E213" s="4">
        <v>64702.73</v>
      </c>
      <c r="F213" s="4">
        <v>95796.692999999999</v>
      </c>
    </row>
    <row r="214" spans="1:6" x14ac:dyDescent="0.2">
      <c r="A214" s="3" t="s">
        <v>9</v>
      </c>
      <c r="B214" s="3" t="s">
        <v>15</v>
      </c>
      <c r="C214" s="3">
        <v>56753.63</v>
      </c>
      <c r="D214" s="4">
        <v>170260.89</v>
      </c>
      <c r="E214" s="4">
        <v>56753.63</v>
      </c>
      <c r="F214" s="4">
        <v>95796.692999999999</v>
      </c>
    </row>
    <row r="215" spans="1:6" x14ac:dyDescent="0.2">
      <c r="A215" s="3" t="s">
        <v>10</v>
      </c>
      <c r="B215" s="3" t="s">
        <v>15</v>
      </c>
      <c r="C215" s="3">
        <v>52724.12</v>
      </c>
      <c r="D215" s="4">
        <v>158172.35999999999</v>
      </c>
      <c r="E215" s="4">
        <v>52724.12</v>
      </c>
      <c r="F215" s="4">
        <v>95796.692999999999</v>
      </c>
    </row>
    <row r="216" spans="1:6" x14ac:dyDescent="0.2">
      <c r="A216" s="3" t="s">
        <v>11</v>
      </c>
      <c r="B216" s="3" t="s">
        <v>15</v>
      </c>
      <c r="C216" s="3">
        <v>52876.94</v>
      </c>
      <c r="D216" s="4">
        <v>158630.82</v>
      </c>
      <c r="E216" s="4">
        <v>52876.94</v>
      </c>
      <c r="F216" s="4">
        <v>95796.692999999999</v>
      </c>
    </row>
    <row r="217" spans="1:6" x14ac:dyDescent="0.2">
      <c r="A217" s="3" t="s">
        <v>12</v>
      </c>
      <c r="B217" s="3" t="s">
        <v>15</v>
      </c>
      <c r="C217" s="3">
        <v>66026.11</v>
      </c>
      <c r="D217" s="4">
        <v>198078.33</v>
      </c>
      <c r="E217" s="4">
        <v>66026.11</v>
      </c>
      <c r="F217" s="4">
        <v>95796.692999999999</v>
      </c>
    </row>
    <row r="218" spans="1:6" x14ac:dyDescent="0.2">
      <c r="A218" s="3" t="s">
        <v>13</v>
      </c>
      <c r="B218" s="3" t="s">
        <v>15</v>
      </c>
      <c r="C218" s="3">
        <v>64596.84</v>
      </c>
      <c r="D218" s="4">
        <v>193790.52</v>
      </c>
      <c r="E218" s="4">
        <v>64596.84</v>
      </c>
      <c r="F218" s="4">
        <v>95796.692999999999</v>
      </c>
    </row>
    <row r="219" spans="1:6" x14ac:dyDescent="0.2">
      <c r="A219" s="3" t="s">
        <v>7</v>
      </c>
      <c r="B219" s="3" t="s">
        <v>17</v>
      </c>
      <c r="C219" s="3">
        <v>66353.84</v>
      </c>
      <c r="D219" s="4">
        <v>199061.52</v>
      </c>
      <c r="E219" s="4">
        <v>66353.84</v>
      </c>
      <c r="F219" s="4">
        <v>83740.842000000004</v>
      </c>
    </row>
    <row r="220" spans="1:6" x14ac:dyDescent="0.2">
      <c r="A220" s="3" t="s">
        <v>9</v>
      </c>
      <c r="B220" s="3" t="s">
        <v>17</v>
      </c>
      <c r="C220" s="3">
        <v>58843.23</v>
      </c>
      <c r="D220" s="4">
        <v>176529.69</v>
      </c>
      <c r="E220" s="4">
        <v>58843.23</v>
      </c>
      <c r="F220" s="4">
        <v>83740.842000000004</v>
      </c>
    </row>
    <row r="221" spans="1:6" x14ac:dyDescent="0.2">
      <c r="A221" s="3" t="s">
        <v>10</v>
      </c>
      <c r="B221" s="3" t="s">
        <v>17</v>
      </c>
      <c r="C221" s="3">
        <v>60845.599999999999</v>
      </c>
      <c r="D221" s="4">
        <v>182536.8</v>
      </c>
      <c r="E221" s="4">
        <v>60845.599999999999</v>
      </c>
      <c r="F221" s="4">
        <v>83740.842000000004</v>
      </c>
    </row>
    <row r="222" spans="1:6" x14ac:dyDescent="0.2">
      <c r="A222" s="3" t="s">
        <v>11</v>
      </c>
      <c r="B222" s="3" t="s">
        <v>17</v>
      </c>
      <c r="C222" s="3">
        <v>79462.2</v>
      </c>
      <c r="D222" s="4">
        <v>238386.6</v>
      </c>
      <c r="E222" s="4">
        <v>79462.2</v>
      </c>
      <c r="F222" s="4">
        <v>83740.842000000004</v>
      </c>
    </row>
    <row r="223" spans="1:6" x14ac:dyDescent="0.2">
      <c r="A223" s="3" t="s">
        <v>12</v>
      </c>
      <c r="B223" s="3" t="s">
        <v>17</v>
      </c>
      <c r="C223" s="3">
        <v>64365.29</v>
      </c>
      <c r="D223" s="4">
        <v>193095.87</v>
      </c>
      <c r="E223" s="4">
        <v>64365.29</v>
      </c>
      <c r="F223" s="4">
        <v>83740.842000000004</v>
      </c>
    </row>
    <row r="224" spans="1:6" x14ac:dyDescent="0.2">
      <c r="A224" s="3" t="s">
        <v>13</v>
      </c>
      <c r="B224" s="3" t="s">
        <v>17</v>
      </c>
      <c r="C224" s="3">
        <v>93045.38</v>
      </c>
      <c r="D224" s="4">
        <v>279136.14</v>
      </c>
      <c r="E224" s="4">
        <v>93045.38</v>
      </c>
      <c r="F224" s="4">
        <v>83740.842000000004</v>
      </c>
    </row>
    <row r="225" spans="1:6" x14ac:dyDescent="0.2">
      <c r="A225" s="3" t="s">
        <v>7</v>
      </c>
      <c r="B225" s="3" t="s">
        <v>8</v>
      </c>
      <c r="C225" s="3">
        <v>39545.300000000003</v>
      </c>
      <c r="D225" s="4">
        <v>118635.9</v>
      </c>
      <c r="E225" s="4">
        <v>39545.300000000003</v>
      </c>
      <c r="F225" s="4">
        <v>91734.462</v>
      </c>
    </row>
    <row r="226" spans="1:6" x14ac:dyDescent="0.2">
      <c r="A226" s="3" t="s">
        <v>9</v>
      </c>
      <c r="B226" s="3" t="s">
        <v>8</v>
      </c>
      <c r="C226" s="3">
        <v>43508.09</v>
      </c>
      <c r="D226" s="4">
        <v>130524.27</v>
      </c>
      <c r="E226" s="4">
        <v>43508.09</v>
      </c>
      <c r="F226" s="4">
        <v>91734.462</v>
      </c>
    </row>
    <row r="227" spans="1:6" x14ac:dyDescent="0.2">
      <c r="A227" s="3" t="s">
        <v>10</v>
      </c>
      <c r="B227" s="3" t="s">
        <v>8</v>
      </c>
      <c r="C227" s="3">
        <v>40701.279999999999</v>
      </c>
      <c r="D227" s="4">
        <v>122103.84</v>
      </c>
      <c r="E227" s="4">
        <v>40701.279999999999</v>
      </c>
      <c r="F227" s="4">
        <v>91734.462</v>
      </c>
    </row>
    <row r="228" spans="1:6" x14ac:dyDescent="0.2">
      <c r="A228" s="3" t="s">
        <v>11</v>
      </c>
      <c r="B228" s="3" t="s">
        <v>8</v>
      </c>
      <c r="C228" s="3">
        <v>46466.92</v>
      </c>
      <c r="D228" s="4">
        <v>139400.76</v>
      </c>
      <c r="E228" s="4">
        <v>46466.92</v>
      </c>
      <c r="F228" s="4">
        <v>91734.462</v>
      </c>
    </row>
    <row r="229" spans="1:6" x14ac:dyDescent="0.2">
      <c r="A229" s="3" t="s">
        <v>12</v>
      </c>
      <c r="B229" s="3" t="s">
        <v>8</v>
      </c>
      <c r="C229" s="3">
        <v>45191.37</v>
      </c>
      <c r="D229" s="4">
        <v>135574.10999999999</v>
      </c>
      <c r="E229" s="4">
        <v>45191.37</v>
      </c>
      <c r="F229" s="4">
        <v>91734.462</v>
      </c>
    </row>
    <row r="230" spans="1:6" x14ac:dyDescent="0.2">
      <c r="A230" s="3" t="s">
        <v>13</v>
      </c>
      <c r="B230" s="3" t="s">
        <v>8</v>
      </c>
      <c r="C230" s="3">
        <v>47400.18</v>
      </c>
      <c r="D230" s="4">
        <v>142200.54</v>
      </c>
      <c r="E230" s="4">
        <v>47400.18</v>
      </c>
      <c r="F230" s="4">
        <v>91734.462</v>
      </c>
    </row>
    <row r="231" spans="1:6" x14ac:dyDescent="0.2">
      <c r="A231" s="3" t="s">
        <v>7</v>
      </c>
      <c r="B231" s="3" t="s">
        <v>18</v>
      </c>
      <c r="C231" s="3">
        <v>72575.12</v>
      </c>
      <c r="D231" s="4">
        <v>217725.36</v>
      </c>
      <c r="E231" s="4">
        <v>72575.12</v>
      </c>
      <c r="F231" s="4">
        <v>99634.98599999999</v>
      </c>
    </row>
    <row r="232" spans="1:6" x14ac:dyDescent="0.2">
      <c r="A232" s="3" t="s">
        <v>9</v>
      </c>
      <c r="B232" s="3" t="s">
        <v>18</v>
      </c>
      <c r="C232" s="3">
        <v>66265.63</v>
      </c>
      <c r="D232" s="4">
        <v>198796.89</v>
      </c>
      <c r="E232" s="4">
        <v>66265.63</v>
      </c>
      <c r="F232" s="4">
        <v>99634.98599999999</v>
      </c>
    </row>
    <row r="233" spans="1:6" x14ac:dyDescent="0.2">
      <c r="A233" s="3" t="s">
        <v>10</v>
      </c>
      <c r="B233" s="3" t="s">
        <v>18</v>
      </c>
      <c r="C233" s="3">
        <v>53779.78</v>
      </c>
      <c r="D233" s="4">
        <v>161339.34</v>
      </c>
      <c r="E233" s="4">
        <v>53779.78</v>
      </c>
      <c r="F233" s="4">
        <v>99634.98599999999</v>
      </c>
    </row>
    <row r="234" spans="1:6" x14ac:dyDescent="0.2">
      <c r="A234" s="3" t="s">
        <v>11</v>
      </c>
      <c r="B234" s="3" t="s">
        <v>18</v>
      </c>
      <c r="C234" s="3">
        <v>71655.27</v>
      </c>
      <c r="D234" s="4">
        <v>214965.81</v>
      </c>
      <c r="E234" s="4">
        <v>71655.27</v>
      </c>
      <c r="F234" s="4">
        <v>99634.98599999999</v>
      </c>
    </row>
    <row r="235" spans="1:6" x14ac:dyDescent="0.2">
      <c r="A235" s="3" t="s">
        <v>12</v>
      </c>
      <c r="B235" s="3" t="s">
        <v>18</v>
      </c>
      <c r="C235" s="3">
        <v>76304.06</v>
      </c>
      <c r="D235" s="4">
        <v>228912.18</v>
      </c>
      <c r="E235" s="4">
        <v>76304.06</v>
      </c>
      <c r="F235" s="4">
        <v>99634.98599999999</v>
      </c>
    </row>
    <row r="236" spans="1:6" x14ac:dyDescent="0.2">
      <c r="A236" s="3" t="s">
        <v>13</v>
      </c>
      <c r="B236" s="3" t="s">
        <v>18</v>
      </c>
      <c r="C236" s="3">
        <v>60193.07</v>
      </c>
      <c r="D236" s="4">
        <v>180579.21</v>
      </c>
      <c r="E236" s="4">
        <v>60193.07</v>
      </c>
      <c r="F236" s="4">
        <v>99634.98599999999</v>
      </c>
    </row>
    <row r="237" spans="1:6" x14ac:dyDescent="0.2">
      <c r="A237" s="3" t="s">
        <v>7</v>
      </c>
      <c r="B237" s="3" t="s">
        <v>16</v>
      </c>
      <c r="C237" s="3">
        <v>46577.99</v>
      </c>
      <c r="D237" s="4">
        <v>139733.97</v>
      </c>
      <c r="E237" s="4">
        <v>46577.99</v>
      </c>
      <c r="F237" s="4">
        <v>94304.313000000009</v>
      </c>
    </row>
    <row r="238" spans="1:6" x14ac:dyDescent="0.2">
      <c r="A238" s="3" t="s">
        <v>9</v>
      </c>
      <c r="B238" s="3" t="s">
        <v>16</v>
      </c>
      <c r="C238" s="3">
        <v>77703.94</v>
      </c>
      <c r="D238" s="4">
        <v>233111.82</v>
      </c>
      <c r="E238" s="4">
        <v>77703.94</v>
      </c>
      <c r="F238" s="4">
        <v>94304.313000000009</v>
      </c>
    </row>
    <row r="239" spans="1:6" x14ac:dyDescent="0.2">
      <c r="A239" s="3" t="s">
        <v>10</v>
      </c>
      <c r="B239" s="3" t="s">
        <v>16</v>
      </c>
      <c r="C239" s="3">
        <v>56849.7</v>
      </c>
      <c r="D239" s="4">
        <v>170549.1</v>
      </c>
      <c r="E239" s="4">
        <v>56849.7</v>
      </c>
      <c r="F239" s="4">
        <v>94304.313000000009</v>
      </c>
    </row>
    <row r="240" spans="1:6" x14ac:dyDescent="0.2">
      <c r="A240" s="3" t="s">
        <v>11</v>
      </c>
      <c r="B240" s="3" t="s">
        <v>16</v>
      </c>
      <c r="C240" s="3">
        <v>80267.039999999994</v>
      </c>
      <c r="D240" s="4">
        <v>240801.12</v>
      </c>
      <c r="E240" s="4">
        <v>80267.039999999994</v>
      </c>
      <c r="F240" s="4">
        <v>94304.313000000009</v>
      </c>
    </row>
    <row r="241" spans="1:6" x14ac:dyDescent="0.2">
      <c r="A241" s="3" t="s">
        <v>12</v>
      </c>
      <c r="B241" s="3" t="s">
        <v>16</v>
      </c>
      <c r="C241" s="3">
        <v>64913.13</v>
      </c>
      <c r="D241" s="4">
        <v>194739.39</v>
      </c>
      <c r="E241" s="4">
        <v>64913.13</v>
      </c>
      <c r="F241" s="4">
        <v>94304.313000000009</v>
      </c>
    </row>
    <row r="242" spans="1:6" x14ac:dyDescent="0.2">
      <c r="A242" s="3" t="s">
        <v>13</v>
      </c>
      <c r="B242" s="3" t="s">
        <v>16</v>
      </c>
      <c r="C242" s="3">
        <v>81526.98</v>
      </c>
      <c r="D242" s="4">
        <v>244580.94</v>
      </c>
      <c r="E242" s="4">
        <v>81526.98</v>
      </c>
      <c r="F242" s="4">
        <v>94304.313000000009</v>
      </c>
    </row>
    <row r="243" spans="1:6" x14ac:dyDescent="0.2">
      <c r="A243" s="3" t="s">
        <v>7</v>
      </c>
      <c r="B243" s="3" t="s">
        <v>18</v>
      </c>
      <c r="C243" s="3">
        <v>47003.040000000001</v>
      </c>
      <c r="D243" s="4">
        <v>141009.12</v>
      </c>
      <c r="E243" s="4">
        <v>47003.040000000001</v>
      </c>
      <c r="F243" s="4">
        <v>99634.98599999999</v>
      </c>
    </row>
    <row r="244" spans="1:6" x14ac:dyDescent="0.2">
      <c r="A244" s="3" t="s">
        <v>9</v>
      </c>
      <c r="B244" s="3" t="s">
        <v>18</v>
      </c>
      <c r="C244" s="3">
        <v>54530.879999999997</v>
      </c>
      <c r="D244" s="4">
        <v>163592.64000000001</v>
      </c>
      <c r="E244" s="4">
        <v>54530.879999999997</v>
      </c>
      <c r="F244" s="4">
        <v>99634.98599999999</v>
      </c>
    </row>
    <row r="245" spans="1:6" x14ac:dyDescent="0.2">
      <c r="A245" s="3" t="s">
        <v>10</v>
      </c>
      <c r="B245" s="3" t="s">
        <v>18</v>
      </c>
      <c r="C245" s="3">
        <v>51280.06</v>
      </c>
      <c r="D245" s="4">
        <v>153840.18</v>
      </c>
      <c r="E245" s="4">
        <v>51280.06</v>
      </c>
      <c r="F245" s="4">
        <v>99634.98599999999</v>
      </c>
    </row>
    <row r="246" spans="1:6" x14ac:dyDescent="0.2">
      <c r="A246" s="3" t="s">
        <v>11</v>
      </c>
      <c r="B246" s="3" t="s">
        <v>18</v>
      </c>
      <c r="C246" s="3">
        <v>63197.9</v>
      </c>
      <c r="D246" s="4">
        <v>189593.7</v>
      </c>
      <c r="E246" s="4">
        <v>63197.9</v>
      </c>
      <c r="F246" s="4">
        <v>99634.98599999999</v>
      </c>
    </row>
    <row r="247" spans="1:6" x14ac:dyDescent="0.2">
      <c r="A247" s="3" t="s">
        <v>12</v>
      </c>
      <c r="B247" s="3" t="s">
        <v>18</v>
      </c>
      <c r="C247" s="3">
        <v>61311.3</v>
      </c>
      <c r="D247" s="4">
        <v>183933.9</v>
      </c>
      <c r="E247" s="4">
        <v>61311.3</v>
      </c>
      <c r="F247" s="4">
        <v>99634.98599999999</v>
      </c>
    </row>
    <row r="248" spans="1:6" x14ac:dyDescent="0.2">
      <c r="A248" s="3" t="s">
        <v>13</v>
      </c>
      <c r="B248" s="3" t="s">
        <v>18</v>
      </c>
      <c r="C248" s="3">
        <v>70449.279999999999</v>
      </c>
      <c r="D248" s="4">
        <v>211347.84</v>
      </c>
      <c r="E248" s="4">
        <v>70449.279999999999</v>
      </c>
      <c r="F248" s="4">
        <v>99634.98599999999</v>
      </c>
    </row>
    <row r="249" spans="1:6" x14ac:dyDescent="0.2">
      <c r="A249" s="3" t="s">
        <v>7</v>
      </c>
      <c r="B249" s="3" t="s">
        <v>14</v>
      </c>
      <c r="C249" s="3">
        <v>56738.37</v>
      </c>
      <c r="D249" s="4">
        <v>170215.11</v>
      </c>
      <c r="E249" s="4">
        <v>56738.37</v>
      </c>
      <c r="F249" s="4">
        <v>92194.631999999998</v>
      </c>
    </row>
    <row r="250" spans="1:6" x14ac:dyDescent="0.2">
      <c r="A250" s="3" t="s">
        <v>9</v>
      </c>
      <c r="B250" s="3" t="s">
        <v>14</v>
      </c>
      <c r="C250" s="3">
        <v>79983.14</v>
      </c>
      <c r="D250" s="4">
        <v>239949.42</v>
      </c>
      <c r="E250" s="4">
        <v>79983.14</v>
      </c>
      <c r="F250" s="4">
        <v>92194.631999999998</v>
      </c>
    </row>
    <row r="251" spans="1:6" x14ac:dyDescent="0.2">
      <c r="A251" s="3" t="s">
        <v>10</v>
      </c>
      <c r="B251" s="3" t="s">
        <v>14</v>
      </c>
      <c r="C251" s="3">
        <v>67658.39</v>
      </c>
      <c r="D251" s="4">
        <v>202975.17</v>
      </c>
      <c r="E251" s="4">
        <v>67658.39</v>
      </c>
      <c r="F251" s="4">
        <v>92194.631999999998</v>
      </c>
    </row>
    <row r="252" spans="1:6" x14ac:dyDescent="0.2">
      <c r="A252" s="3" t="s">
        <v>11</v>
      </c>
      <c r="B252" s="3" t="s">
        <v>14</v>
      </c>
      <c r="C252" s="3">
        <v>67638.14</v>
      </c>
      <c r="D252" s="4">
        <v>202914.42</v>
      </c>
      <c r="E252" s="4">
        <v>67638.14</v>
      </c>
      <c r="F252" s="4">
        <v>92194.631999999998</v>
      </c>
    </row>
    <row r="253" spans="1:6" x14ac:dyDescent="0.2">
      <c r="A253" s="3" t="s">
        <v>12</v>
      </c>
      <c r="B253" s="3" t="s">
        <v>14</v>
      </c>
      <c r="C253" s="3">
        <v>83846.91</v>
      </c>
      <c r="D253" s="4">
        <v>251540.73</v>
      </c>
      <c r="E253" s="4">
        <v>83846.91</v>
      </c>
      <c r="F253" s="4">
        <v>92194.631999999998</v>
      </c>
    </row>
    <row r="254" spans="1:6" x14ac:dyDescent="0.2">
      <c r="A254" s="3" t="s">
        <v>13</v>
      </c>
      <c r="B254" s="3" t="s">
        <v>14</v>
      </c>
      <c r="C254" s="3">
        <v>96141.5</v>
      </c>
      <c r="D254" s="4">
        <v>288424.5</v>
      </c>
      <c r="E254" s="4">
        <v>96141.5</v>
      </c>
      <c r="F254" s="4">
        <v>92194.631999999998</v>
      </c>
    </row>
    <row r="255" spans="1:6" x14ac:dyDescent="0.2">
      <c r="A255" s="3" t="s">
        <v>7</v>
      </c>
      <c r="B255" s="3" t="s">
        <v>16</v>
      </c>
      <c r="C255" s="3">
        <v>36644.800000000003</v>
      </c>
      <c r="D255" s="4">
        <v>109934.39999999999</v>
      </c>
      <c r="E255" s="4">
        <v>36644.800000000003</v>
      </c>
      <c r="F255" s="4">
        <v>94304.313000000009</v>
      </c>
    </row>
    <row r="256" spans="1:6" x14ac:dyDescent="0.2">
      <c r="A256" s="3" t="s">
        <v>9</v>
      </c>
      <c r="B256" s="3" t="s">
        <v>16</v>
      </c>
      <c r="C256" s="3">
        <v>43040.86</v>
      </c>
      <c r="D256" s="4">
        <v>129122.58</v>
      </c>
      <c r="E256" s="4">
        <v>43040.86</v>
      </c>
      <c r="F256" s="4">
        <v>94304.313000000009</v>
      </c>
    </row>
    <row r="257" spans="1:6" x14ac:dyDescent="0.2">
      <c r="A257" s="3" t="s">
        <v>10</v>
      </c>
      <c r="B257" s="3" t="s">
        <v>16</v>
      </c>
      <c r="C257" s="3">
        <v>50457.95</v>
      </c>
      <c r="D257" s="4">
        <v>151373.85</v>
      </c>
      <c r="E257" s="4">
        <v>50457.95</v>
      </c>
      <c r="F257" s="4">
        <v>94304.313000000009</v>
      </c>
    </row>
    <row r="258" spans="1:6" x14ac:dyDescent="0.2">
      <c r="A258" s="3" t="s">
        <v>11</v>
      </c>
      <c r="B258" s="3" t="s">
        <v>16</v>
      </c>
      <c r="C258" s="3">
        <v>54466.34</v>
      </c>
      <c r="D258" s="4">
        <v>163399.01999999999</v>
      </c>
      <c r="E258" s="4">
        <v>54466.34</v>
      </c>
      <c r="F258" s="4">
        <v>94304.313000000009</v>
      </c>
    </row>
    <row r="259" spans="1:6" x14ac:dyDescent="0.2">
      <c r="A259" s="3" t="s">
        <v>12</v>
      </c>
      <c r="B259" s="3" t="s">
        <v>16</v>
      </c>
      <c r="C259" s="3">
        <v>43426.85</v>
      </c>
      <c r="D259" s="4">
        <v>130280.55</v>
      </c>
      <c r="E259" s="4">
        <v>43426.85</v>
      </c>
      <c r="F259" s="4">
        <v>94304.313000000009</v>
      </c>
    </row>
    <row r="260" spans="1:6" x14ac:dyDescent="0.2">
      <c r="A260" s="3" t="s">
        <v>13</v>
      </c>
      <c r="B260" s="3" t="s">
        <v>16</v>
      </c>
      <c r="C260" s="3">
        <v>53147.85</v>
      </c>
      <c r="D260" s="4">
        <v>159443.54999999999</v>
      </c>
      <c r="E260" s="4">
        <v>53147.85</v>
      </c>
      <c r="F260" s="4">
        <v>94304.313000000009</v>
      </c>
    </row>
    <row r="261" spans="1:6" x14ac:dyDescent="0.2">
      <c r="A261" s="3" t="s">
        <v>7</v>
      </c>
      <c r="B261" s="3" t="s">
        <v>14</v>
      </c>
      <c r="C261" s="3">
        <v>61835.23</v>
      </c>
      <c r="D261" s="4">
        <v>185505.69</v>
      </c>
      <c r="E261" s="4">
        <v>61835.23</v>
      </c>
      <c r="F261" s="4">
        <v>92194.631999999998</v>
      </c>
    </row>
    <row r="262" spans="1:6" x14ac:dyDescent="0.2">
      <c r="A262" s="3" t="s">
        <v>9</v>
      </c>
      <c r="B262" s="3" t="s">
        <v>14</v>
      </c>
      <c r="C262" s="3">
        <v>56178.239999999998</v>
      </c>
      <c r="D262" s="4">
        <v>168534.72</v>
      </c>
      <c r="E262" s="4">
        <v>56178.239999999998</v>
      </c>
      <c r="F262" s="4">
        <v>92194.631999999998</v>
      </c>
    </row>
    <row r="263" spans="1:6" x14ac:dyDescent="0.2">
      <c r="A263" s="3" t="s">
        <v>10</v>
      </c>
      <c r="B263" s="3" t="s">
        <v>14</v>
      </c>
      <c r="C263" s="3">
        <v>71420.67</v>
      </c>
      <c r="D263" s="4">
        <v>214262.01</v>
      </c>
      <c r="E263" s="4">
        <v>71420.67</v>
      </c>
      <c r="F263" s="4">
        <v>92194.631999999998</v>
      </c>
    </row>
    <row r="264" spans="1:6" x14ac:dyDescent="0.2">
      <c r="A264" s="3" t="s">
        <v>11</v>
      </c>
      <c r="B264" s="3" t="s">
        <v>14</v>
      </c>
      <c r="C264" s="3">
        <v>58581.69</v>
      </c>
      <c r="D264" s="4">
        <v>175745.07</v>
      </c>
      <c r="E264" s="4">
        <v>58581.69</v>
      </c>
      <c r="F264" s="4">
        <v>92194.631999999998</v>
      </c>
    </row>
    <row r="265" spans="1:6" x14ac:dyDescent="0.2">
      <c r="A265" s="3" t="s">
        <v>12</v>
      </c>
      <c r="B265" s="3" t="s">
        <v>14</v>
      </c>
      <c r="C265" s="3">
        <v>80753.19</v>
      </c>
      <c r="D265" s="4">
        <v>242259.57</v>
      </c>
      <c r="E265" s="4">
        <v>80753.19</v>
      </c>
      <c r="F265" s="4">
        <v>92194.631999999998</v>
      </c>
    </row>
    <row r="266" spans="1:6" x14ac:dyDescent="0.2">
      <c r="A266" s="3" t="s">
        <v>13</v>
      </c>
      <c r="B266" s="3" t="s">
        <v>14</v>
      </c>
      <c r="C266" s="3">
        <v>91050.83</v>
      </c>
      <c r="D266" s="4">
        <v>273152.49</v>
      </c>
      <c r="E266" s="4">
        <v>91050.83</v>
      </c>
      <c r="F266" s="4">
        <v>92194.631999999998</v>
      </c>
    </row>
    <row r="267" spans="1:6" x14ac:dyDescent="0.2">
      <c r="A267" s="3" t="s">
        <v>7</v>
      </c>
      <c r="B267" s="3" t="s">
        <v>18</v>
      </c>
      <c r="C267" s="3">
        <v>59934.1</v>
      </c>
      <c r="D267" s="4">
        <v>179802.3</v>
      </c>
      <c r="E267" s="4">
        <v>59934.1</v>
      </c>
      <c r="F267" s="4">
        <v>99634.98599999999</v>
      </c>
    </row>
    <row r="268" spans="1:6" x14ac:dyDescent="0.2">
      <c r="A268" s="3" t="s">
        <v>9</v>
      </c>
      <c r="B268" s="3" t="s">
        <v>18</v>
      </c>
      <c r="C268" s="3">
        <v>51219.97</v>
      </c>
      <c r="D268" s="4">
        <v>153659.91</v>
      </c>
      <c r="E268" s="4">
        <v>51219.97</v>
      </c>
      <c r="F268" s="4">
        <v>99634.98599999999</v>
      </c>
    </row>
    <row r="269" spans="1:6" x14ac:dyDescent="0.2">
      <c r="A269" s="3" t="s">
        <v>10</v>
      </c>
      <c r="B269" s="3" t="s">
        <v>18</v>
      </c>
      <c r="C269" s="3">
        <v>60619.54</v>
      </c>
      <c r="D269" s="4">
        <v>181858.62</v>
      </c>
      <c r="E269" s="4">
        <v>60619.54</v>
      </c>
      <c r="F269" s="4">
        <v>99634.98599999999</v>
      </c>
    </row>
    <row r="270" spans="1:6" x14ac:dyDescent="0.2">
      <c r="A270" s="3" t="s">
        <v>11</v>
      </c>
      <c r="B270" s="3" t="s">
        <v>18</v>
      </c>
      <c r="C270" s="3">
        <v>77711.509999999995</v>
      </c>
      <c r="D270" s="4">
        <v>233134.53</v>
      </c>
      <c r="E270" s="4">
        <v>77711.509999999995</v>
      </c>
      <c r="F270" s="4">
        <v>99634.98599999999</v>
      </c>
    </row>
    <row r="271" spans="1:6" x14ac:dyDescent="0.2">
      <c r="A271" s="3" t="s">
        <v>12</v>
      </c>
      <c r="B271" s="3" t="s">
        <v>18</v>
      </c>
      <c r="C271" s="3">
        <v>62850.35</v>
      </c>
      <c r="D271" s="4">
        <v>188551.05</v>
      </c>
      <c r="E271" s="4">
        <v>62850.35</v>
      </c>
      <c r="F271" s="4">
        <v>99634.98599999999</v>
      </c>
    </row>
    <row r="272" spans="1:6" x14ac:dyDescent="0.2">
      <c r="A272" s="3" t="s">
        <v>13</v>
      </c>
      <c r="B272" s="3" t="s">
        <v>18</v>
      </c>
      <c r="C272" s="3">
        <v>73630.89</v>
      </c>
      <c r="D272" s="4">
        <v>220892.67</v>
      </c>
      <c r="E272" s="4">
        <v>73630.89</v>
      </c>
      <c r="F272" s="4">
        <v>99634.98599999999</v>
      </c>
    </row>
    <row r="273" spans="1:6" x14ac:dyDescent="0.2">
      <c r="A273" s="3" t="s">
        <v>7</v>
      </c>
      <c r="B273" s="3" t="s">
        <v>20</v>
      </c>
      <c r="C273" s="3">
        <v>44560.63</v>
      </c>
      <c r="D273" s="4">
        <v>133681.89000000001</v>
      </c>
      <c r="E273" s="4">
        <v>44560.63</v>
      </c>
      <c r="F273" s="4">
        <v>92182.01400000001</v>
      </c>
    </row>
    <row r="274" spans="1:6" x14ac:dyDescent="0.2">
      <c r="A274" s="3" t="s">
        <v>9</v>
      </c>
      <c r="B274" s="3" t="s">
        <v>20</v>
      </c>
      <c r="C274" s="3">
        <v>49699.86</v>
      </c>
      <c r="D274" s="4">
        <v>149099.57999999999</v>
      </c>
      <c r="E274" s="4">
        <v>49699.86</v>
      </c>
      <c r="F274" s="4">
        <v>92182.01400000001</v>
      </c>
    </row>
    <row r="275" spans="1:6" x14ac:dyDescent="0.2">
      <c r="A275" s="3" t="s">
        <v>10</v>
      </c>
      <c r="B275" s="3" t="s">
        <v>20</v>
      </c>
      <c r="C275" s="3">
        <v>71460.289999999994</v>
      </c>
      <c r="D275" s="4">
        <v>214380.87</v>
      </c>
      <c r="E275" s="4">
        <v>71460.289999999994</v>
      </c>
      <c r="F275" s="4">
        <v>92182.01400000001</v>
      </c>
    </row>
    <row r="276" spans="1:6" x14ac:dyDescent="0.2">
      <c r="A276" s="3" t="s">
        <v>11</v>
      </c>
      <c r="B276" s="3" t="s">
        <v>20</v>
      </c>
      <c r="C276" s="3">
        <v>52820.06</v>
      </c>
      <c r="D276" s="4">
        <v>158460.18</v>
      </c>
      <c r="E276" s="4">
        <v>52820.06</v>
      </c>
      <c r="F276" s="4">
        <v>92182.01400000001</v>
      </c>
    </row>
    <row r="277" spans="1:6" x14ac:dyDescent="0.2">
      <c r="A277" s="3" t="s">
        <v>12</v>
      </c>
      <c r="B277" s="3" t="s">
        <v>20</v>
      </c>
      <c r="C277" s="3">
        <v>70261.06</v>
      </c>
      <c r="D277" s="4">
        <v>210783.18</v>
      </c>
      <c r="E277" s="4">
        <v>70261.06</v>
      </c>
      <c r="F277" s="4">
        <v>92182.01400000001</v>
      </c>
    </row>
    <row r="278" spans="1:6" x14ac:dyDescent="0.2">
      <c r="A278" s="3" t="s">
        <v>13</v>
      </c>
      <c r="B278" s="3" t="s">
        <v>20</v>
      </c>
      <c r="C278" s="3">
        <v>59820.19</v>
      </c>
      <c r="D278" s="4">
        <v>179460.57</v>
      </c>
      <c r="E278" s="4">
        <v>59820.19</v>
      </c>
      <c r="F278" s="4">
        <v>92182.01400000001</v>
      </c>
    </row>
    <row r="279" spans="1:6" x14ac:dyDescent="0.2">
      <c r="A279" s="3" t="s">
        <v>7</v>
      </c>
      <c r="B279" s="3" t="s">
        <v>16</v>
      </c>
      <c r="C279" s="3">
        <v>44776.35</v>
      </c>
      <c r="D279" s="4">
        <v>134329.04999999999</v>
      </c>
      <c r="E279" s="4">
        <v>44776.35</v>
      </c>
      <c r="F279" s="4">
        <v>94304.313000000009</v>
      </c>
    </row>
    <row r="280" spans="1:6" x14ac:dyDescent="0.2">
      <c r="A280" s="3" t="s">
        <v>9</v>
      </c>
      <c r="B280" s="3" t="s">
        <v>16</v>
      </c>
      <c r="C280" s="3">
        <v>43682.44</v>
      </c>
      <c r="D280" s="4">
        <v>131047.32</v>
      </c>
      <c r="E280" s="4">
        <v>43682.44</v>
      </c>
      <c r="F280" s="4">
        <v>94304.313000000009</v>
      </c>
    </row>
    <row r="281" spans="1:6" x14ac:dyDescent="0.2">
      <c r="A281" s="3" t="s">
        <v>10</v>
      </c>
      <c r="B281" s="3" t="s">
        <v>16</v>
      </c>
      <c r="C281" s="3">
        <v>42067.54</v>
      </c>
      <c r="D281" s="4">
        <v>126202.62</v>
      </c>
      <c r="E281" s="4">
        <v>42067.54</v>
      </c>
      <c r="F281" s="4">
        <v>94304.313000000009</v>
      </c>
    </row>
    <row r="282" spans="1:6" x14ac:dyDescent="0.2">
      <c r="A282" s="3" t="s">
        <v>11</v>
      </c>
      <c r="B282" s="3" t="s">
        <v>16</v>
      </c>
      <c r="C282" s="3">
        <v>41153.449999999997</v>
      </c>
      <c r="D282" s="4">
        <v>123460.35</v>
      </c>
      <c r="E282" s="4">
        <v>41153.449999999997</v>
      </c>
      <c r="F282" s="4">
        <v>94304.313000000009</v>
      </c>
    </row>
    <row r="283" spans="1:6" x14ac:dyDescent="0.2">
      <c r="A283" s="3" t="s">
        <v>12</v>
      </c>
      <c r="B283" s="3" t="s">
        <v>16</v>
      </c>
      <c r="C283" s="3">
        <v>33905.11</v>
      </c>
      <c r="D283" s="4">
        <v>101715.33</v>
      </c>
      <c r="E283" s="4">
        <v>33905.11</v>
      </c>
      <c r="F283" s="4">
        <v>94304.313000000009</v>
      </c>
    </row>
    <row r="284" spans="1:6" x14ac:dyDescent="0.2">
      <c r="A284" s="3" t="s">
        <v>13</v>
      </c>
      <c r="B284" s="3" t="s">
        <v>16</v>
      </c>
      <c r="C284" s="3">
        <v>37098.65</v>
      </c>
      <c r="D284" s="4">
        <v>111295.95</v>
      </c>
      <c r="E284" s="4">
        <v>37098.65</v>
      </c>
      <c r="F284" s="4">
        <v>94304.313000000009</v>
      </c>
    </row>
    <row r="285" spans="1:6" x14ac:dyDescent="0.2">
      <c r="A285" s="3" t="s">
        <v>7</v>
      </c>
      <c r="B285" s="3" t="s">
        <v>20</v>
      </c>
      <c r="C285" s="3">
        <v>69950.850000000006</v>
      </c>
      <c r="D285" s="4">
        <v>209852.55</v>
      </c>
      <c r="E285" s="4">
        <v>69950.850000000006</v>
      </c>
      <c r="F285" s="4">
        <v>92182.01400000001</v>
      </c>
    </row>
    <row r="286" spans="1:6" x14ac:dyDescent="0.2">
      <c r="A286" s="3" t="s">
        <v>9</v>
      </c>
      <c r="B286" s="3" t="s">
        <v>20</v>
      </c>
      <c r="C286" s="3">
        <v>67808.31</v>
      </c>
      <c r="D286" s="4">
        <v>203424.93</v>
      </c>
      <c r="E286" s="4">
        <v>67808.31</v>
      </c>
      <c r="F286" s="4">
        <v>92182.01400000001</v>
      </c>
    </row>
    <row r="287" spans="1:6" x14ac:dyDescent="0.2">
      <c r="A287" s="3" t="s">
        <v>10</v>
      </c>
      <c r="B287" s="3" t="s">
        <v>20</v>
      </c>
      <c r="C287" s="3">
        <v>51649.04</v>
      </c>
      <c r="D287" s="4">
        <v>154947.12</v>
      </c>
      <c r="E287" s="4">
        <v>51649.04</v>
      </c>
      <c r="F287" s="4">
        <v>92182.01400000001</v>
      </c>
    </row>
    <row r="288" spans="1:6" x14ac:dyDescent="0.2">
      <c r="A288" s="3" t="s">
        <v>11</v>
      </c>
      <c r="B288" s="3" t="s">
        <v>20</v>
      </c>
      <c r="C288" s="3">
        <v>73747.5</v>
      </c>
      <c r="D288" s="4">
        <v>221242.5</v>
      </c>
      <c r="E288" s="4">
        <v>73747.5</v>
      </c>
      <c r="F288" s="4">
        <v>92182.01400000001</v>
      </c>
    </row>
    <row r="289" spans="1:6" x14ac:dyDescent="0.2">
      <c r="A289" s="3" t="s">
        <v>12</v>
      </c>
      <c r="B289" s="3" t="s">
        <v>20</v>
      </c>
      <c r="C289" s="3">
        <v>73292.5</v>
      </c>
      <c r="D289" s="4">
        <v>219877.5</v>
      </c>
      <c r="E289" s="4">
        <v>73292.5</v>
      </c>
      <c r="F289" s="4">
        <v>92182.01400000001</v>
      </c>
    </row>
    <row r="290" spans="1:6" x14ac:dyDescent="0.2">
      <c r="A290" s="3" t="s">
        <v>13</v>
      </c>
      <c r="B290" s="3" t="s">
        <v>20</v>
      </c>
      <c r="C290" s="3">
        <v>73975.56</v>
      </c>
      <c r="D290" s="4">
        <v>221926.68</v>
      </c>
      <c r="E290" s="4">
        <v>73975.56</v>
      </c>
      <c r="F290" s="4">
        <v>92182.01400000001</v>
      </c>
    </row>
    <row r="291" spans="1:6" x14ac:dyDescent="0.2">
      <c r="A291" s="3" t="s">
        <v>7</v>
      </c>
      <c r="B291" s="3" t="s">
        <v>15</v>
      </c>
      <c r="C291" s="3">
        <v>30853.68</v>
      </c>
      <c r="D291" s="4">
        <v>92561.040000000008</v>
      </c>
      <c r="E291" s="4">
        <v>30853.68</v>
      </c>
      <c r="F291" s="4">
        <v>95796.692999999999</v>
      </c>
    </row>
    <row r="292" spans="1:6" x14ac:dyDescent="0.2">
      <c r="A292" s="3" t="s">
        <v>9</v>
      </c>
      <c r="B292" s="3" t="s">
        <v>15</v>
      </c>
      <c r="C292" s="3">
        <v>27763.32</v>
      </c>
      <c r="D292" s="4">
        <v>83289.959999999992</v>
      </c>
      <c r="E292" s="4">
        <v>27763.32</v>
      </c>
      <c r="F292" s="4">
        <v>95796.692999999999</v>
      </c>
    </row>
    <row r="293" spans="1:6" x14ac:dyDescent="0.2">
      <c r="A293" s="3" t="s">
        <v>10</v>
      </c>
      <c r="B293" s="3" t="s">
        <v>15</v>
      </c>
      <c r="C293" s="3">
        <v>40464.85</v>
      </c>
      <c r="D293" s="4">
        <v>121394.55</v>
      </c>
      <c r="E293" s="4">
        <v>40464.85</v>
      </c>
      <c r="F293" s="4">
        <v>95796.692999999999</v>
      </c>
    </row>
    <row r="294" spans="1:6" x14ac:dyDescent="0.2">
      <c r="A294" s="3" t="s">
        <v>11</v>
      </c>
      <c r="B294" s="3" t="s">
        <v>15</v>
      </c>
      <c r="C294" s="3">
        <v>32281.1</v>
      </c>
      <c r="D294" s="4">
        <v>96843.299999999988</v>
      </c>
      <c r="E294" s="4">
        <v>32281.1</v>
      </c>
      <c r="F294" s="4">
        <v>95796.692999999999</v>
      </c>
    </row>
    <row r="295" spans="1:6" x14ac:dyDescent="0.2">
      <c r="A295" s="3" t="s">
        <v>12</v>
      </c>
      <c r="B295" s="3" t="s">
        <v>15</v>
      </c>
      <c r="C295" s="3">
        <v>47199.39</v>
      </c>
      <c r="D295" s="4">
        <v>141598.17000000001</v>
      </c>
      <c r="E295" s="4">
        <v>47199.39</v>
      </c>
      <c r="F295" s="4">
        <v>95796.692999999999</v>
      </c>
    </row>
    <row r="296" spans="1:6" x14ac:dyDescent="0.2">
      <c r="A296" s="3" t="s">
        <v>13</v>
      </c>
      <c r="B296" s="3" t="s">
        <v>15</v>
      </c>
      <c r="C296" s="3">
        <v>34219.53</v>
      </c>
      <c r="D296" s="4">
        <v>102658.59</v>
      </c>
      <c r="E296" s="4">
        <v>34219.53</v>
      </c>
      <c r="F296" s="4">
        <v>95796.692999999999</v>
      </c>
    </row>
    <row r="297" spans="1:6" x14ac:dyDescent="0.2">
      <c r="A297" s="3" t="s">
        <v>7</v>
      </c>
      <c r="B297" s="3" t="s">
        <v>18</v>
      </c>
      <c r="C297" s="3">
        <v>45986.11</v>
      </c>
      <c r="D297" s="4">
        <v>137958.32999999999</v>
      </c>
      <c r="E297" s="4">
        <v>45986.11</v>
      </c>
      <c r="F297" s="4">
        <v>99634.98599999999</v>
      </c>
    </row>
    <row r="298" spans="1:6" x14ac:dyDescent="0.2">
      <c r="A298" s="3" t="s">
        <v>9</v>
      </c>
      <c r="B298" s="3" t="s">
        <v>18</v>
      </c>
      <c r="C298" s="3">
        <v>71065.94</v>
      </c>
      <c r="D298" s="4">
        <v>213197.82</v>
      </c>
      <c r="E298" s="4">
        <v>71065.94</v>
      </c>
      <c r="F298" s="4">
        <v>99634.98599999999</v>
      </c>
    </row>
    <row r="299" spans="1:6" x14ac:dyDescent="0.2">
      <c r="A299" s="3" t="s">
        <v>10</v>
      </c>
      <c r="B299" s="3" t="s">
        <v>18</v>
      </c>
      <c r="C299" s="3">
        <v>56406.47</v>
      </c>
      <c r="D299" s="4">
        <v>169219.41</v>
      </c>
      <c r="E299" s="4">
        <v>56406.47</v>
      </c>
      <c r="F299" s="4">
        <v>99634.98599999999</v>
      </c>
    </row>
    <row r="300" spans="1:6" x14ac:dyDescent="0.2">
      <c r="A300" s="3" t="s">
        <v>11</v>
      </c>
      <c r="B300" s="3" t="s">
        <v>18</v>
      </c>
      <c r="C300" s="3">
        <v>66541.919999999998</v>
      </c>
      <c r="D300" s="4">
        <v>199625.76</v>
      </c>
      <c r="E300" s="4">
        <v>66541.919999999998</v>
      </c>
      <c r="F300" s="4">
        <v>99634.98599999999</v>
      </c>
    </row>
    <row r="301" spans="1:6" x14ac:dyDescent="0.2">
      <c r="A301" s="3" t="s">
        <v>12</v>
      </c>
      <c r="B301" s="3" t="s">
        <v>18</v>
      </c>
      <c r="C301" s="3">
        <v>50391.85</v>
      </c>
      <c r="D301" s="4">
        <v>151175.54999999999</v>
      </c>
      <c r="E301" s="4">
        <v>50391.85</v>
      </c>
      <c r="F301" s="4">
        <v>99634.98599999999</v>
      </c>
    </row>
    <row r="302" spans="1:6" x14ac:dyDescent="0.2">
      <c r="A302" s="3" t="s">
        <v>13</v>
      </c>
      <c r="B302" s="3" t="s">
        <v>18</v>
      </c>
      <c r="C302" s="3">
        <v>53218.31</v>
      </c>
      <c r="D302" s="4">
        <v>159654.93</v>
      </c>
      <c r="E302" s="4">
        <v>53218.31</v>
      </c>
      <c r="F302" s="4">
        <v>99634.98599999999</v>
      </c>
    </row>
    <row r="303" spans="1:6" x14ac:dyDescent="0.2">
      <c r="A303" s="3" t="s">
        <v>7</v>
      </c>
      <c r="B303" s="3" t="s">
        <v>14</v>
      </c>
      <c r="C303" s="3">
        <v>69971.98</v>
      </c>
      <c r="D303" s="4">
        <v>209915.94</v>
      </c>
      <c r="E303" s="4">
        <v>69971.98</v>
      </c>
      <c r="F303" s="4">
        <v>92194.631999999998</v>
      </c>
    </row>
    <row r="304" spans="1:6" x14ac:dyDescent="0.2">
      <c r="A304" s="3" t="s">
        <v>9</v>
      </c>
      <c r="B304" s="3" t="s">
        <v>14</v>
      </c>
      <c r="C304" s="3">
        <v>70295.240000000005</v>
      </c>
      <c r="D304" s="4">
        <v>210885.72</v>
      </c>
      <c r="E304" s="4">
        <v>70295.240000000005</v>
      </c>
      <c r="F304" s="4">
        <v>92194.631999999998</v>
      </c>
    </row>
    <row r="305" spans="1:6" x14ac:dyDescent="0.2">
      <c r="A305" s="3" t="s">
        <v>10</v>
      </c>
      <c r="B305" s="3" t="s">
        <v>14</v>
      </c>
      <c r="C305" s="3">
        <v>51759.06</v>
      </c>
      <c r="D305" s="4">
        <v>155277.18</v>
      </c>
      <c r="E305" s="4">
        <v>51759.06</v>
      </c>
      <c r="F305" s="4">
        <v>92194.631999999998</v>
      </c>
    </row>
    <row r="306" spans="1:6" x14ac:dyDescent="0.2">
      <c r="A306" s="3" t="s">
        <v>11</v>
      </c>
      <c r="B306" s="3" t="s">
        <v>14</v>
      </c>
      <c r="C306" s="3">
        <v>84288.23</v>
      </c>
      <c r="D306" s="4">
        <v>252864.69</v>
      </c>
      <c r="E306" s="4">
        <v>84288.23</v>
      </c>
      <c r="F306" s="4">
        <v>92194.631999999998</v>
      </c>
    </row>
    <row r="307" spans="1:6" x14ac:dyDescent="0.2">
      <c r="A307" s="3" t="s">
        <v>12</v>
      </c>
      <c r="B307" s="3" t="s">
        <v>14</v>
      </c>
      <c r="C307" s="3">
        <v>88229.06</v>
      </c>
      <c r="D307" s="4">
        <v>264687.18</v>
      </c>
      <c r="E307" s="4">
        <v>88229.06</v>
      </c>
      <c r="F307" s="4">
        <v>92194.631999999998</v>
      </c>
    </row>
    <row r="308" spans="1:6" x14ac:dyDescent="0.2">
      <c r="A308" s="3" t="s">
        <v>13</v>
      </c>
      <c r="B308" s="3" t="s">
        <v>14</v>
      </c>
      <c r="C308" s="3">
        <v>90303.92</v>
      </c>
      <c r="D308" s="4">
        <v>270911.76</v>
      </c>
      <c r="E308" s="4">
        <v>90303.92</v>
      </c>
      <c r="F308" s="4">
        <v>92194.631999999998</v>
      </c>
    </row>
    <row r="309" spans="1:6" x14ac:dyDescent="0.2">
      <c r="A309" s="3" t="s">
        <v>7</v>
      </c>
      <c r="B309" s="3" t="s">
        <v>20</v>
      </c>
      <c r="C309" s="3">
        <v>61482.75</v>
      </c>
      <c r="D309" s="4">
        <v>184448.25</v>
      </c>
      <c r="E309" s="4">
        <v>61482.75</v>
      </c>
      <c r="F309" s="4">
        <v>92182.01400000001</v>
      </c>
    </row>
    <row r="310" spans="1:6" x14ac:dyDescent="0.2">
      <c r="A310" s="3" t="s">
        <v>9</v>
      </c>
      <c r="B310" s="3" t="s">
        <v>20</v>
      </c>
      <c r="C310" s="3">
        <v>61982.81</v>
      </c>
      <c r="D310" s="4">
        <v>185948.43</v>
      </c>
      <c r="E310" s="4">
        <v>61982.81</v>
      </c>
      <c r="F310" s="4">
        <v>92182.01400000001</v>
      </c>
    </row>
    <row r="311" spans="1:6" x14ac:dyDescent="0.2">
      <c r="A311" s="3" t="s">
        <v>10</v>
      </c>
      <c r="B311" s="3" t="s">
        <v>20</v>
      </c>
      <c r="C311" s="3">
        <v>54866.9</v>
      </c>
      <c r="D311" s="4">
        <v>164600.70000000001</v>
      </c>
      <c r="E311" s="4">
        <v>54866.9</v>
      </c>
      <c r="F311" s="4">
        <v>92182.01400000001</v>
      </c>
    </row>
    <row r="312" spans="1:6" x14ac:dyDescent="0.2">
      <c r="A312" s="3" t="s">
        <v>11</v>
      </c>
      <c r="B312" s="3" t="s">
        <v>20</v>
      </c>
      <c r="C312" s="3">
        <v>67958.98</v>
      </c>
      <c r="D312" s="4">
        <v>203876.94</v>
      </c>
      <c r="E312" s="4">
        <v>67958.98</v>
      </c>
      <c r="F312" s="4">
        <v>92182.01400000001</v>
      </c>
    </row>
    <row r="313" spans="1:6" x14ac:dyDescent="0.2">
      <c r="A313" s="3" t="s">
        <v>12</v>
      </c>
      <c r="B313" s="3" t="s">
        <v>20</v>
      </c>
      <c r="C313" s="3">
        <v>50953.75</v>
      </c>
      <c r="D313" s="4">
        <v>152861.25</v>
      </c>
      <c r="E313" s="4">
        <v>50953.75</v>
      </c>
      <c r="F313" s="4">
        <v>92182.01400000001</v>
      </c>
    </row>
    <row r="314" spans="1:6" x14ac:dyDescent="0.2">
      <c r="A314" s="3" t="s">
        <v>13</v>
      </c>
      <c r="B314" s="3" t="s">
        <v>20</v>
      </c>
      <c r="C314" s="3">
        <v>64376.44</v>
      </c>
      <c r="D314" s="4">
        <v>193129.32</v>
      </c>
      <c r="E314" s="4">
        <v>64376.44</v>
      </c>
      <c r="F314" s="4">
        <v>92182.01400000001</v>
      </c>
    </row>
    <row r="315" spans="1:6" x14ac:dyDescent="0.2">
      <c r="A315" s="3" t="s">
        <v>7</v>
      </c>
      <c r="B315" s="3" t="s">
        <v>18</v>
      </c>
      <c r="C315" s="3">
        <v>79058.7</v>
      </c>
      <c r="D315" s="4">
        <v>237176.1</v>
      </c>
      <c r="E315" s="4">
        <v>79058.7</v>
      </c>
      <c r="F315" s="4">
        <v>99634.98599999999</v>
      </c>
    </row>
    <row r="316" spans="1:6" x14ac:dyDescent="0.2">
      <c r="A316" s="3" t="s">
        <v>9</v>
      </c>
      <c r="B316" s="3" t="s">
        <v>18</v>
      </c>
      <c r="C316" s="3">
        <v>80784.039999999994</v>
      </c>
      <c r="D316" s="4">
        <v>242352.12</v>
      </c>
      <c r="E316" s="4">
        <v>80784.039999999994</v>
      </c>
      <c r="F316" s="4">
        <v>99634.98599999999</v>
      </c>
    </row>
    <row r="317" spans="1:6" x14ac:dyDescent="0.2">
      <c r="A317" s="3" t="s">
        <v>10</v>
      </c>
      <c r="B317" s="3" t="s">
        <v>18</v>
      </c>
      <c r="C317" s="3">
        <v>74352.11</v>
      </c>
      <c r="D317" s="4">
        <v>223056.33</v>
      </c>
      <c r="E317" s="4">
        <v>74352.11</v>
      </c>
      <c r="F317" s="4">
        <v>99634.98599999999</v>
      </c>
    </row>
    <row r="318" spans="1:6" x14ac:dyDescent="0.2">
      <c r="A318" s="3" t="s">
        <v>11</v>
      </c>
      <c r="B318" s="3" t="s">
        <v>18</v>
      </c>
      <c r="C318" s="3">
        <v>105987.05</v>
      </c>
      <c r="D318" s="4">
        <v>317961.15000000002</v>
      </c>
      <c r="E318" s="4">
        <v>105987.05</v>
      </c>
      <c r="F318" s="4">
        <v>99634.98599999999</v>
      </c>
    </row>
    <row r="319" spans="1:6" x14ac:dyDescent="0.2">
      <c r="A319" s="3" t="s">
        <v>12</v>
      </c>
      <c r="B319" s="3" t="s">
        <v>18</v>
      </c>
      <c r="C319" s="3">
        <v>110705.54</v>
      </c>
      <c r="D319" s="4">
        <v>332116.62</v>
      </c>
      <c r="E319" s="4">
        <v>110705.54</v>
      </c>
      <c r="F319" s="4">
        <v>99634.98599999999</v>
      </c>
    </row>
    <row r="320" spans="1:6" x14ac:dyDescent="0.2">
      <c r="A320" s="3" t="s">
        <v>13</v>
      </c>
      <c r="B320" s="3" t="s">
        <v>18</v>
      </c>
      <c r="C320" s="3">
        <v>95697.48</v>
      </c>
      <c r="D320" s="4">
        <v>287092.44</v>
      </c>
      <c r="E320" s="4">
        <v>95697.48</v>
      </c>
      <c r="F320" s="4">
        <v>99634.98599999999</v>
      </c>
    </row>
    <row r="321" spans="1:6" x14ac:dyDescent="0.2">
      <c r="A321" s="3" t="s">
        <v>7</v>
      </c>
      <c r="B321" s="3" t="s">
        <v>8</v>
      </c>
      <c r="C321" s="3">
        <v>51313.35</v>
      </c>
      <c r="D321" s="4">
        <v>153940.04999999999</v>
      </c>
      <c r="E321" s="4">
        <v>51313.35</v>
      </c>
      <c r="F321" s="4">
        <v>91734.462</v>
      </c>
    </row>
    <row r="322" spans="1:6" x14ac:dyDescent="0.2">
      <c r="A322" s="3" t="s">
        <v>9</v>
      </c>
      <c r="B322" s="3" t="s">
        <v>8</v>
      </c>
      <c r="C322" s="3">
        <v>42468.52</v>
      </c>
      <c r="D322" s="4">
        <v>127405.56</v>
      </c>
      <c r="E322" s="4">
        <v>42468.52</v>
      </c>
      <c r="F322" s="4">
        <v>91734.462</v>
      </c>
    </row>
    <row r="323" spans="1:6" x14ac:dyDescent="0.2">
      <c r="A323" s="3" t="s">
        <v>10</v>
      </c>
      <c r="B323" s="3" t="s">
        <v>8</v>
      </c>
      <c r="C323" s="3">
        <v>57768.5</v>
      </c>
      <c r="D323" s="4">
        <v>173305.5</v>
      </c>
      <c r="E323" s="4">
        <v>57768.5</v>
      </c>
      <c r="F323" s="4">
        <v>91734.462</v>
      </c>
    </row>
    <row r="324" spans="1:6" x14ac:dyDescent="0.2">
      <c r="A324" s="3" t="s">
        <v>11</v>
      </c>
      <c r="B324" s="3" t="s">
        <v>8</v>
      </c>
      <c r="C324" s="3">
        <v>55515.61</v>
      </c>
      <c r="D324" s="4">
        <v>166546.82999999999</v>
      </c>
      <c r="E324" s="4">
        <v>55515.61</v>
      </c>
      <c r="F324" s="4">
        <v>91734.462</v>
      </c>
    </row>
    <row r="325" spans="1:6" x14ac:dyDescent="0.2">
      <c r="A325" s="3" t="s">
        <v>12</v>
      </c>
      <c r="B325" s="3" t="s">
        <v>8</v>
      </c>
      <c r="C325" s="3">
        <v>70915.09</v>
      </c>
      <c r="D325" s="4">
        <v>212745.27</v>
      </c>
      <c r="E325" s="4">
        <v>70915.09</v>
      </c>
      <c r="F325" s="4">
        <v>91734.462</v>
      </c>
    </row>
    <row r="326" spans="1:6" x14ac:dyDescent="0.2">
      <c r="A326" s="3" t="s">
        <v>13</v>
      </c>
      <c r="B326" s="3" t="s">
        <v>8</v>
      </c>
      <c r="C326" s="3">
        <v>68975.850000000006</v>
      </c>
      <c r="D326" s="4">
        <v>206927.55</v>
      </c>
      <c r="E326" s="4">
        <v>68975.850000000006</v>
      </c>
      <c r="F326" s="4">
        <v>91734.462</v>
      </c>
    </row>
    <row r="327" spans="1:6" x14ac:dyDescent="0.2">
      <c r="A327" s="3" t="s">
        <v>7</v>
      </c>
      <c r="B327" s="3" t="s">
        <v>8</v>
      </c>
      <c r="C327" s="3">
        <v>56377.07</v>
      </c>
      <c r="D327" s="4">
        <v>169131.21</v>
      </c>
      <c r="E327" s="4">
        <v>56377.07</v>
      </c>
      <c r="F327" s="4">
        <v>91734.462</v>
      </c>
    </row>
    <row r="328" spans="1:6" x14ac:dyDescent="0.2">
      <c r="A328" s="3" t="s">
        <v>9</v>
      </c>
      <c r="B328" s="3" t="s">
        <v>8</v>
      </c>
      <c r="C328" s="3">
        <v>66198.789999999994</v>
      </c>
      <c r="D328" s="4">
        <v>198596.37</v>
      </c>
      <c r="E328" s="4">
        <v>66198.789999999994</v>
      </c>
      <c r="F328" s="4">
        <v>91734.462</v>
      </c>
    </row>
    <row r="329" spans="1:6" x14ac:dyDescent="0.2">
      <c r="A329" s="3" t="s">
        <v>10</v>
      </c>
      <c r="B329" s="3" t="s">
        <v>8</v>
      </c>
      <c r="C329" s="3">
        <v>66746.11</v>
      </c>
      <c r="D329" s="4">
        <v>200238.33</v>
      </c>
      <c r="E329" s="4">
        <v>66746.11</v>
      </c>
      <c r="F329" s="4">
        <v>91734.462</v>
      </c>
    </row>
    <row r="330" spans="1:6" x14ac:dyDescent="0.2">
      <c r="A330" s="3" t="s">
        <v>11</v>
      </c>
      <c r="B330" s="3" t="s">
        <v>8</v>
      </c>
      <c r="C330" s="3">
        <v>56657.47</v>
      </c>
      <c r="D330" s="4">
        <v>169972.41</v>
      </c>
      <c r="E330" s="4">
        <v>56657.47</v>
      </c>
      <c r="F330" s="4">
        <v>91734.462</v>
      </c>
    </row>
    <row r="331" spans="1:6" x14ac:dyDescent="0.2">
      <c r="A331" s="3" t="s">
        <v>12</v>
      </c>
      <c r="B331" s="3" t="s">
        <v>8</v>
      </c>
      <c r="C331" s="3">
        <v>67879.899999999994</v>
      </c>
      <c r="D331" s="4">
        <v>203639.7</v>
      </c>
      <c r="E331" s="4">
        <v>67879.899999999994</v>
      </c>
      <c r="F331" s="4">
        <v>91734.462</v>
      </c>
    </row>
    <row r="332" spans="1:6" x14ac:dyDescent="0.2">
      <c r="A332" s="3" t="s">
        <v>13</v>
      </c>
      <c r="B332" s="3" t="s">
        <v>8</v>
      </c>
      <c r="C332" s="3">
        <v>65913.789999999994</v>
      </c>
      <c r="D332" s="4">
        <v>197741.37</v>
      </c>
      <c r="E332" s="4">
        <v>65913.789999999994</v>
      </c>
      <c r="F332" s="4">
        <v>91734.462</v>
      </c>
    </row>
    <row r="333" spans="1:6" x14ac:dyDescent="0.2">
      <c r="A333" s="3" t="s">
        <v>7</v>
      </c>
      <c r="B333" s="3" t="s">
        <v>20</v>
      </c>
      <c r="C333" s="3">
        <v>34133.339999999997</v>
      </c>
      <c r="D333" s="4">
        <v>102400.02</v>
      </c>
      <c r="E333" s="4">
        <v>34133.339999999997</v>
      </c>
      <c r="F333" s="4">
        <v>92182.01400000001</v>
      </c>
    </row>
    <row r="334" spans="1:6" x14ac:dyDescent="0.2">
      <c r="A334" s="3" t="s">
        <v>9</v>
      </c>
      <c r="B334" s="3" t="s">
        <v>20</v>
      </c>
      <c r="C334" s="3">
        <v>40538.03</v>
      </c>
      <c r="D334" s="4">
        <v>121614.09</v>
      </c>
      <c r="E334" s="4">
        <v>40538.03</v>
      </c>
      <c r="F334" s="4">
        <v>92182.01400000001</v>
      </c>
    </row>
    <row r="335" spans="1:6" x14ac:dyDescent="0.2">
      <c r="A335" s="3" t="s">
        <v>10</v>
      </c>
      <c r="B335" s="3" t="s">
        <v>20</v>
      </c>
      <c r="C335" s="3">
        <v>56353.88</v>
      </c>
      <c r="D335" s="4">
        <v>169061.64</v>
      </c>
      <c r="E335" s="4">
        <v>56353.88</v>
      </c>
      <c r="F335" s="4">
        <v>92182.01400000001</v>
      </c>
    </row>
    <row r="336" spans="1:6" x14ac:dyDescent="0.2">
      <c r="A336" s="3" t="s">
        <v>11</v>
      </c>
      <c r="B336" s="3" t="s">
        <v>20</v>
      </c>
      <c r="C336" s="3">
        <v>56816.39</v>
      </c>
      <c r="D336" s="4">
        <v>170449.17</v>
      </c>
      <c r="E336" s="4">
        <v>56816.39</v>
      </c>
      <c r="F336" s="4">
        <v>92182.01400000001</v>
      </c>
    </row>
    <row r="337" spans="1:6" x14ac:dyDescent="0.2">
      <c r="A337" s="3" t="s">
        <v>12</v>
      </c>
      <c r="B337" s="3" t="s">
        <v>20</v>
      </c>
      <c r="C337" s="3">
        <v>46050.64</v>
      </c>
      <c r="D337" s="4">
        <v>138151.92000000001</v>
      </c>
      <c r="E337" s="4">
        <v>46050.64</v>
      </c>
      <c r="F337" s="4">
        <v>92182.01400000001</v>
      </c>
    </row>
    <row r="338" spans="1:6" x14ac:dyDescent="0.2">
      <c r="A338" s="3" t="s">
        <v>13</v>
      </c>
      <c r="B338" s="3" t="s">
        <v>20</v>
      </c>
      <c r="C338" s="3">
        <v>55858.33</v>
      </c>
      <c r="D338" s="4">
        <v>167574.99</v>
      </c>
      <c r="E338" s="4">
        <v>55858.33</v>
      </c>
      <c r="F338" s="4">
        <v>92182.01400000001</v>
      </c>
    </row>
    <row r="339" spans="1:6" x14ac:dyDescent="0.2">
      <c r="A339" s="3" t="s">
        <v>7</v>
      </c>
      <c r="B339" s="3" t="s">
        <v>14</v>
      </c>
      <c r="C339" s="3">
        <v>30852.91</v>
      </c>
      <c r="D339" s="4">
        <v>92558.73</v>
      </c>
      <c r="E339" s="4">
        <v>30852.91</v>
      </c>
      <c r="F339" s="4">
        <v>92194.631999999998</v>
      </c>
    </row>
    <row r="340" spans="1:6" x14ac:dyDescent="0.2">
      <c r="A340" s="3" t="s">
        <v>9</v>
      </c>
      <c r="B340" s="3" t="s">
        <v>14</v>
      </c>
      <c r="C340" s="3">
        <v>33788.269999999997</v>
      </c>
      <c r="D340" s="4">
        <v>101364.81</v>
      </c>
      <c r="E340" s="4">
        <v>33788.269999999997</v>
      </c>
      <c r="F340" s="4">
        <v>92194.631999999998</v>
      </c>
    </row>
    <row r="341" spans="1:6" x14ac:dyDescent="0.2">
      <c r="A341" s="3" t="s">
        <v>10</v>
      </c>
      <c r="B341" s="3" t="s">
        <v>14</v>
      </c>
      <c r="C341" s="3">
        <v>37724.410000000003</v>
      </c>
      <c r="D341" s="4">
        <v>113173.23</v>
      </c>
      <c r="E341" s="4">
        <v>37724.410000000003</v>
      </c>
      <c r="F341" s="4">
        <v>92194.631999999998</v>
      </c>
    </row>
    <row r="342" spans="1:6" x14ac:dyDescent="0.2">
      <c r="A342" s="3" t="s">
        <v>11</v>
      </c>
      <c r="B342" s="3" t="s">
        <v>14</v>
      </c>
      <c r="C342" s="3">
        <v>32595.38</v>
      </c>
      <c r="D342" s="4">
        <v>97786.14</v>
      </c>
      <c r="E342" s="4">
        <v>32595.38</v>
      </c>
      <c r="F342" s="4">
        <v>92194.631999999998</v>
      </c>
    </row>
    <row r="343" spans="1:6" x14ac:dyDescent="0.2">
      <c r="A343" s="3" t="s">
        <v>12</v>
      </c>
      <c r="B343" s="3" t="s">
        <v>14</v>
      </c>
      <c r="C343" s="3">
        <v>40182.449999999997</v>
      </c>
      <c r="D343" s="4">
        <v>120547.35</v>
      </c>
      <c r="E343" s="4">
        <v>40182.449999999997</v>
      </c>
      <c r="F343" s="4">
        <v>92194.631999999998</v>
      </c>
    </row>
    <row r="344" spans="1:6" x14ac:dyDescent="0.2">
      <c r="A344" s="3" t="s">
        <v>13</v>
      </c>
      <c r="B344" s="3" t="s">
        <v>14</v>
      </c>
      <c r="C344" s="3">
        <v>33151.49</v>
      </c>
      <c r="D344" s="4">
        <v>99454.47</v>
      </c>
      <c r="E344" s="4">
        <v>33151.49</v>
      </c>
      <c r="F344" s="4">
        <v>92194.631999999998</v>
      </c>
    </row>
    <row r="345" spans="1:6" x14ac:dyDescent="0.2">
      <c r="A345" s="3" t="s">
        <v>7</v>
      </c>
      <c r="B345" s="3" t="s">
        <v>8</v>
      </c>
      <c r="C345" s="3">
        <v>31338.89</v>
      </c>
      <c r="D345" s="4">
        <v>94016.67</v>
      </c>
      <c r="E345" s="4">
        <v>31338.89</v>
      </c>
      <c r="F345" s="4">
        <v>91734.462</v>
      </c>
    </row>
    <row r="346" spans="1:6" x14ac:dyDescent="0.2">
      <c r="A346" s="3" t="s">
        <v>9</v>
      </c>
      <c r="B346" s="3" t="s">
        <v>8</v>
      </c>
      <c r="C346" s="3">
        <v>29407.74</v>
      </c>
      <c r="D346" s="4">
        <v>88223.22</v>
      </c>
      <c r="E346" s="4">
        <v>29407.74</v>
      </c>
      <c r="F346" s="4">
        <v>91734.462</v>
      </c>
    </row>
    <row r="347" spans="1:6" x14ac:dyDescent="0.2">
      <c r="A347" s="3" t="s">
        <v>10</v>
      </c>
      <c r="B347" s="3" t="s">
        <v>8</v>
      </c>
      <c r="C347" s="3">
        <v>27299.919999999998</v>
      </c>
      <c r="D347" s="4">
        <v>81899.759999999995</v>
      </c>
      <c r="E347" s="4">
        <v>27299.919999999998</v>
      </c>
      <c r="F347" s="4">
        <v>91734.462</v>
      </c>
    </row>
    <row r="348" spans="1:6" x14ac:dyDescent="0.2">
      <c r="A348" s="3" t="s">
        <v>11</v>
      </c>
      <c r="B348" s="3" t="s">
        <v>8</v>
      </c>
      <c r="C348" s="3">
        <v>33504.35</v>
      </c>
      <c r="D348" s="4">
        <v>100513.05</v>
      </c>
      <c r="E348" s="4">
        <v>33504.35</v>
      </c>
      <c r="F348" s="4">
        <v>91734.462</v>
      </c>
    </row>
    <row r="349" spans="1:6" x14ac:dyDescent="0.2">
      <c r="A349" s="3" t="s">
        <v>12</v>
      </c>
      <c r="B349" s="3" t="s">
        <v>8</v>
      </c>
      <c r="C349" s="3">
        <v>34519.75</v>
      </c>
      <c r="D349" s="4">
        <v>103559.25</v>
      </c>
      <c r="E349" s="4">
        <v>34519.75</v>
      </c>
      <c r="F349" s="4">
        <v>91734.462</v>
      </c>
    </row>
    <row r="350" spans="1:6" x14ac:dyDescent="0.2">
      <c r="A350" s="3" t="s">
        <v>13</v>
      </c>
      <c r="B350" s="3" t="s">
        <v>8</v>
      </c>
      <c r="C350" s="3">
        <v>32131.360000000001</v>
      </c>
      <c r="D350" s="4">
        <v>96394.08</v>
      </c>
      <c r="E350" s="4">
        <v>32131.360000000001</v>
      </c>
      <c r="F350" s="4">
        <v>91734.462</v>
      </c>
    </row>
    <row r="351" spans="1:6" x14ac:dyDescent="0.2">
      <c r="A351" s="3" t="s">
        <v>7</v>
      </c>
      <c r="B351" s="3" t="s">
        <v>15</v>
      </c>
      <c r="C351" s="3">
        <v>41556.910000000003</v>
      </c>
      <c r="D351" s="4">
        <v>124670.73</v>
      </c>
      <c r="E351" s="4">
        <v>41556.910000000003</v>
      </c>
      <c r="F351" s="4">
        <v>95796.692999999999</v>
      </c>
    </row>
    <row r="352" spans="1:6" x14ac:dyDescent="0.2">
      <c r="A352" s="3" t="s">
        <v>9</v>
      </c>
      <c r="B352" s="3" t="s">
        <v>15</v>
      </c>
      <c r="C352" s="3">
        <v>56060.75</v>
      </c>
      <c r="D352" s="4">
        <v>168182.25</v>
      </c>
      <c r="E352" s="4">
        <v>56060.75</v>
      </c>
      <c r="F352" s="4">
        <v>95796.692999999999</v>
      </c>
    </row>
    <row r="353" spans="1:6" x14ac:dyDescent="0.2">
      <c r="A353" s="3" t="s">
        <v>10</v>
      </c>
      <c r="B353" s="3" t="s">
        <v>15</v>
      </c>
      <c r="C353" s="3">
        <v>42280.84</v>
      </c>
      <c r="D353" s="4">
        <v>126842.52</v>
      </c>
      <c r="E353" s="4">
        <v>42280.84</v>
      </c>
      <c r="F353" s="4">
        <v>95796.692999999999</v>
      </c>
    </row>
    <row r="354" spans="1:6" x14ac:dyDescent="0.2">
      <c r="A354" s="3" t="s">
        <v>11</v>
      </c>
      <c r="B354" s="3" t="s">
        <v>15</v>
      </c>
      <c r="C354" s="3">
        <v>45737.39</v>
      </c>
      <c r="D354" s="4">
        <v>137212.17000000001</v>
      </c>
      <c r="E354" s="4">
        <v>45737.39</v>
      </c>
      <c r="F354" s="4">
        <v>95796.692999999999</v>
      </c>
    </row>
    <row r="355" spans="1:6" x14ac:dyDescent="0.2">
      <c r="A355" s="3" t="s">
        <v>12</v>
      </c>
      <c r="B355" s="3" t="s">
        <v>15</v>
      </c>
      <c r="C355" s="3">
        <v>53674.8</v>
      </c>
      <c r="D355" s="4">
        <v>161024.4</v>
      </c>
      <c r="E355" s="4">
        <v>53674.8</v>
      </c>
      <c r="F355" s="4">
        <v>95796.692999999999</v>
      </c>
    </row>
    <row r="356" spans="1:6" x14ac:dyDescent="0.2">
      <c r="A356" s="3" t="s">
        <v>13</v>
      </c>
      <c r="B356" s="3" t="s">
        <v>15</v>
      </c>
      <c r="C356" s="3">
        <v>74774.64</v>
      </c>
      <c r="D356" s="4">
        <v>224323.92</v>
      </c>
      <c r="E356" s="4">
        <v>74774.64</v>
      </c>
      <c r="F356" s="4">
        <v>95796.692999999999</v>
      </c>
    </row>
    <row r="357" spans="1:6" x14ac:dyDescent="0.2">
      <c r="A357" s="3" t="s">
        <v>7</v>
      </c>
      <c r="B357" s="3" t="s">
        <v>17</v>
      </c>
      <c r="C357" s="3">
        <v>48368.61</v>
      </c>
      <c r="D357" s="4">
        <v>145105.82999999999</v>
      </c>
      <c r="E357" s="4">
        <v>48368.61</v>
      </c>
      <c r="F357" s="4">
        <v>83740.842000000004</v>
      </c>
    </row>
    <row r="358" spans="1:6" x14ac:dyDescent="0.2">
      <c r="A358" s="3" t="s">
        <v>9</v>
      </c>
      <c r="B358" s="3" t="s">
        <v>17</v>
      </c>
      <c r="C358" s="3">
        <v>53600.37</v>
      </c>
      <c r="D358" s="4">
        <v>160801.10999999999</v>
      </c>
      <c r="E358" s="4">
        <v>53600.37</v>
      </c>
      <c r="F358" s="4">
        <v>83740.842000000004</v>
      </c>
    </row>
    <row r="359" spans="1:6" x14ac:dyDescent="0.2">
      <c r="A359" s="3" t="s">
        <v>10</v>
      </c>
      <c r="B359" s="3" t="s">
        <v>17</v>
      </c>
      <c r="C359" s="3">
        <v>48351.14</v>
      </c>
      <c r="D359" s="4">
        <v>145053.42000000001</v>
      </c>
      <c r="E359" s="4">
        <v>48351.14</v>
      </c>
      <c r="F359" s="4">
        <v>83740.842000000004</v>
      </c>
    </row>
    <row r="360" spans="1:6" x14ac:dyDescent="0.2">
      <c r="A360" s="3" t="s">
        <v>11</v>
      </c>
      <c r="B360" s="3" t="s">
        <v>17</v>
      </c>
      <c r="C360" s="3">
        <v>52823.05</v>
      </c>
      <c r="D360" s="4">
        <v>158469.15</v>
      </c>
      <c r="E360" s="4">
        <v>52823.05</v>
      </c>
      <c r="F360" s="4">
        <v>83740.842000000004</v>
      </c>
    </row>
    <row r="361" spans="1:6" x14ac:dyDescent="0.2">
      <c r="A361" s="3" t="s">
        <v>12</v>
      </c>
      <c r="B361" s="3" t="s">
        <v>17</v>
      </c>
      <c r="C361" s="3">
        <v>47093.8</v>
      </c>
      <c r="D361" s="4">
        <v>141281.4</v>
      </c>
      <c r="E361" s="4">
        <v>47093.8</v>
      </c>
      <c r="F361" s="4">
        <v>83740.842000000004</v>
      </c>
    </row>
    <row r="362" spans="1:6" x14ac:dyDescent="0.2">
      <c r="A362" s="3" t="s">
        <v>13</v>
      </c>
      <c r="B362" s="3" t="s">
        <v>17</v>
      </c>
      <c r="C362" s="3">
        <v>47639.63</v>
      </c>
      <c r="D362" s="4">
        <v>142918.89000000001</v>
      </c>
      <c r="E362" s="4">
        <v>47639.63</v>
      </c>
      <c r="F362" s="4">
        <v>83740.842000000004</v>
      </c>
    </row>
    <row r="363" spans="1:6" x14ac:dyDescent="0.2">
      <c r="A363" s="3" t="s">
        <v>7</v>
      </c>
      <c r="B363" s="3" t="s">
        <v>8</v>
      </c>
      <c r="C363" s="3">
        <v>34102.01</v>
      </c>
      <c r="D363" s="4">
        <v>102306.03</v>
      </c>
      <c r="E363" s="4">
        <v>34102.01</v>
      </c>
      <c r="F363" s="4">
        <v>91734.462</v>
      </c>
    </row>
    <row r="364" spans="1:6" x14ac:dyDescent="0.2">
      <c r="A364" s="3" t="s">
        <v>9</v>
      </c>
      <c r="B364" s="3" t="s">
        <v>8</v>
      </c>
      <c r="C364" s="3">
        <v>40262.58</v>
      </c>
      <c r="D364" s="4">
        <v>120787.74</v>
      </c>
      <c r="E364" s="4">
        <v>40262.58</v>
      </c>
      <c r="F364" s="4">
        <v>91734.462</v>
      </c>
    </row>
    <row r="365" spans="1:6" x14ac:dyDescent="0.2">
      <c r="A365" s="3" t="s">
        <v>10</v>
      </c>
      <c r="B365" s="3" t="s">
        <v>8</v>
      </c>
      <c r="C365" s="3">
        <v>35054.019999999997</v>
      </c>
      <c r="D365" s="4">
        <v>105162.06</v>
      </c>
      <c r="E365" s="4">
        <v>35054.019999999997</v>
      </c>
      <c r="F365" s="4">
        <v>91734.462</v>
      </c>
    </row>
    <row r="366" spans="1:6" x14ac:dyDescent="0.2">
      <c r="A366" s="3" t="s">
        <v>11</v>
      </c>
      <c r="B366" s="3" t="s">
        <v>8</v>
      </c>
      <c r="C366" s="3">
        <v>44354.879999999997</v>
      </c>
      <c r="D366" s="4">
        <v>133064.64000000001</v>
      </c>
      <c r="E366" s="4">
        <v>44354.879999999997</v>
      </c>
      <c r="F366" s="4">
        <v>91734.462</v>
      </c>
    </row>
    <row r="367" spans="1:6" x14ac:dyDescent="0.2">
      <c r="A367" s="3" t="s">
        <v>12</v>
      </c>
      <c r="B367" s="3" t="s">
        <v>8</v>
      </c>
      <c r="C367" s="3">
        <v>51448.88</v>
      </c>
      <c r="D367" s="4">
        <v>154346.64000000001</v>
      </c>
      <c r="E367" s="4">
        <v>51448.88</v>
      </c>
      <c r="F367" s="4">
        <v>91734.462</v>
      </c>
    </row>
    <row r="368" spans="1:6" x14ac:dyDescent="0.2">
      <c r="A368" s="3" t="s">
        <v>13</v>
      </c>
      <c r="B368" s="3" t="s">
        <v>8</v>
      </c>
      <c r="C368" s="3">
        <v>37104.36</v>
      </c>
      <c r="D368" s="4">
        <v>111313.08</v>
      </c>
      <c r="E368" s="4">
        <v>37104.36</v>
      </c>
      <c r="F368" s="4">
        <v>91734.462</v>
      </c>
    </row>
    <row r="369" spans="1:6" x14ac:dyDescent="0.2">
      <c r="A369" s="3" t="s">
        <v>7</v>
      </c>
      <c r="B369" s="3" t="s">
        <v>19</v>
      </c>
      <c r="C369" s="3">
        <v>49628.76</v>
      </c>
      <c r="D369" s="4">
        <v>148886.28</v>
      </c>
      <c r="E369" s="4">
        <v>49628.76</v>
      </c>
      <c r="F369" s="4">
        <v>101747.052</v>
      </c>
    </row>
    <row r="370" spans="1:6" x14ac:dyDescent="0.2">
      <c r="A370" s="3" t="s">
        <v>9</v>
      </c>
      <c r="B370" s="3" t="s">
        <v>19</v>
      </c>
      <c r="C370" s="3">
        <v>56328.08</v>
      </c>
      <c r="D370" s="4">
        <v>168984.24</v>
      </c>
      <c r="E370" s="4">
        <v>56328.08</v>
      </c>
      <c r="F370" s="4">
        <v>101747.052</v>
      </c>
    </row>
    <row r="371" spans="1:6" x14ac:dyDescent="0.2">
      <c r="A371" s="3" t="s">
        <v>10</v>
      </c>
      <c r="B371" s="3" t="s">
        <v>19</v>
      </c>
      <c r="C371" s="3">
        <v>55397.120000000003</v>
      </c>
      <c r="D371" s="4">
        <v>166191.35999999999</v>
      </c>
      <c r="E371" s="4">
        <v>55397.120000000003</v>
      </c>
      <c r="F371" s="4">
        <v>101747.052</v>
      </c>
    </row>
    <row r="372" spans="1:6" x14ac:dyDescent="0.2">
      <c r="A372" s="3" t="s">
        <v>11</v>
      </c>
      <c r="B372" s="3" t="s">
        <v>19</v>
      </c>
      <c r="C372" s="3">
        <v>63856.71</v>
      </c>
      <c r="D372" s="4">
        <v>191570.13</v>
      </c>
      <c r="E372" s="4">
        <v>63856.71</v>
      </c>
      <c r="F372" s="4">
        <v>101747.052</v>
      </c>
    </row>
    <row r="373" spans="1:6" x14ac:dyDescent="0.2">
      <c r="A373" s="3" t="s">
        <v>12</v>
      </c>
      <c r="B373" s="3" t="s">
        <v>19</v>
      </c>
      <c r="C373" s="3">
        <v>62479.48</v>
      </c>
      <c r="D373" s="4">
        <v>187438.44</v>
      </c>
      <c r="E373" s="4">
        <v>62479.48</v>
      </c>
      <c r="F373" s="4">
        <v>101747.052</v>
      </c>
    </row>
    <row r="374" spans="1:6" x14ac:dyDescent="0.2">
      <c r="A374" s="3" t="s">
        <v>13</v>
      </c>
      <c r="B374" s="3" t="s">
        <v>19</v>
      </c>
      <c r="C374" s="3">
        <v>66759.850000000006</v>
      </c>
      <c r="D374" s="4">
        <v>200279.55</v>
      </c>
      <c r="E374" s="4">
        <v>66759.850000000006</v>
      </c>
      <c r="F374" s="4">
        <v>101747.052</v>
      </c>
    </row>
    <row r="375" spans="1:6" x14ac:dyDescent="0.2">
      <c r="A375" s="3" t="s">
        <v>7</v>
      </c>
      <c r="B375" s="3" t="s">
        <v>18</v>
      </c>
      <c r="C375" s="3">
        <v>51925.81</v>
      </c>
      <c r="D375" s="4">
        <v>155777.43</v>
      </c>
      <c r="E375" s="4">
        <v>51925.81</v>
      </c>
      <c r="F375" s="4">
        <v>99634.98599999999</v>
      </c>
    </row>
    <row r="376" spans="1:6" x14ac:dyDescent="0.2">
      <c r="A376" s="3" t="s">
        <v>9</v>
      </c>
      <c r="B376" s="3" t="s">
        <v>18</v>
      </c>
      <c r="C376" s="3">
        <v>41585.01</v>
      </c>
      <c r="D376" s="4">
        <v>124755.03</v>
      </c>
      <c r="E376" s="4">
        <v>41585.01</v>
      </c>
      <c r="F376" s="4">
        <v>99634.98599999999</v>
      </c>
    </row>
    <row r="377" spans="1:6" x14ac:dyDescent="0.2">
      <c r="A377" s="3" t="s">
        <v>10</v>
      </c>
      <c r="B377" s="3" t="s">
        <v>18</v>
      </c>
      <c r="C377" s="3">
        <v>53013.05</v>
      </c>
      <c r="D377" s="4">
        <v>159039.15</v>
      </c>
      <c r="E377" s="4">
        <v>53013.05</v>
      </c>
      <c r="F377" s="4">
        <v>99634.98599999999</v>
      </c>
    </row>
    <row r="378" spans="1:6" x14ac:dyDescent="0.2">
      <c r="A378" s="3" t="s">
        <v>11</v>
      </c>
      <c r="B378" s="3" t="s">
        <v>18</v>
      </c>
      <c r="C378" s="3">
        <v>49202.77</v>
      </c>
      <c r="D378" s="4">
        <v>147608.31</v>
      </c>
      <c r="E378" s="4">
        <v>49202.77</v>
      </c>
      <c r="F378" s="4">
        <v>99634.98599999999</v>
      </c>
    </row>
    <row r="379" spans="1:6" x14ac:dyDescent="0.2">
      <c r="A379" s="3" t="s">
        <v>12</v>
      </c>
      <c r="B379" s="3" t="s">
        <v>18</v>
      </c>
      <c r="C379" s="3">
        <v>66351.039999999994</v>
      </c>
      <c r="D379" s="4">
        <v>199053.12</v>
      </c>
      <c r="E379" s="4">
        <v>66351.039999999994</v>
      </c>
      <c r="F379" s="4">
        <v>99634.98599999999</v>
      </c>
    </row>
    <row r="380" spans="1:6" x14ac:dyDescent="0.2">
      <c r="A380" s="3" t="s">
        <v>13</v>
      </c>
      <c r="B380" s="3" t="s">
        <v>18</v>
      </c>
      <c r="C380" s="3">
        <v>59573.29</v>
      </c>
      <c r="D380" s="4">
        <v>178719.87</v>
      </c>
      <c r="E380" s="4">
        <v>59573.29</v>
      </c>
      <c r="F380" s="4">
        <v>99634.98599999999</v>
      </c>
    </row>
    <row r="381" spans="1:6" x14ac:dyDescent="0.2">
      <c r="A381" s="3" t="s">
        <v>7</v>
      </c>
      <c r="B381" s="3" t="s">
        <v>16</v>
      </c>
      <c r="C381" s="3">
        <v>50064.41</v>
      </c>
      <c r="D381" s="4">
        <v>150193.23000000001</v>
      </c>
      <c r="E381" s="4">
        <v>50064.41</v>
      </c>
      <c r="F381" s="4">
        <v>94304.313000000009</v>
      </c>
    </row>
    <row r="382" spans="1:6" x14ac:dyDescent="0.2">
      <c r="A382" s="3" t="s">
        <v>9</v>
      </c>
      <c r="B382" s="3" t="s">
        <v>16</v>
      </c>
      <c r="C382" s="3">
        <v>47583.48</v>
      </c>
      <c r="D382" s="4">
        <v>142750.44</v>
      </c>
      <c r="E382" s="4">
        <v>47583.48</v>
      </c>
      <c r="F382" s="4">
        <v>94304.313000000009</v>
      </c>
    </row>
    <row r="383" spans="1:6" x14ac:dyDescent="0.2">
      <c r="A383" s="3" t="s">
        <v>10</v>
      </c>
      <c r="B383" s="3" t="s">
        <v>16</v>
      </c>
      <c r="C383" s="3">
        <v>48778.59</v>
      </c>
      <c r="D383" s="4">
        <v>146335.76999999999</v>
      </c>
      <c r="E383" s="4">
        <v>48778.59</v>
      </c>
      <c r="F383" s="4">
        <v>94304.313000000009</v>
      </c>
    </row>
    <row r="384" spans="1:6" x14ac:dyDescent="0.2">
      <c r="A384" s="3" t="s">
        <v>11</v>
      </c>
      <c r="B384" s="3" t="s">
        <v>16</v>
      </c>
      <c r="C384" s="3">
        <v>51805.01</v>
      </c>
      <c r="D384" s="4">
        <v>155415.03</v>
      </c>
      <c r="E384" s="4">
        <v>51805.01</v>
      </c>
      <c r="F384" s="4">
        <v>94304.313000000009</v>
      </c>
    </row>
    <row r="385" spans="1:6" x14ac:dyDescent="0.2">
      <c r="A385" s="3" t="s">
        <v>12</v>
      </c>
      <c r="B385" s="3" t="s">
        <v>16</v>
      </c>
      <c r="C385" s="3">
        <v>39562.559999999998</v>
      </c>
      <c r="D385" s="4">
        <v>118687.67999999999</v>
      </c>
      <c r="E385" s="4">
        <v>39562.559999999998</v>
      </c>
      <c r="F385" s="4">
        <v>94304.313000000009</v>
      </c>
    </row>
    <row r="386" spans="1:6" x14ac:dyDescent="0.2">
      <c r="A386" s="3" t="s">
        <v>13</v>
      </c>
      <c r="B386" s="3" t="s">
        <v>16</v>
      </c>
      <c r="C386" s="3">
        <v>39390.49</v>
      </c>
      <c r="D386" s="4">
        <v>118171.47</v>
      </c>
      <c r="E386" s="4">
        <v>39390.49</v>
      </c>
      <c r="F386" s="4">
        <v>94304.313000000009</v>
      </c>
    </row>
    <row r="387" spans="1:6" x14ac:dyDescent="0.2">
      <c r="A387" s="3" t="s">
        <v>7</v>
      </c>
      <c r="B387" s="3" t="s">
        <v>19</v>
      </c>
      <c r="C387" s="3">
        <v>24857.81</v>
      </c>
      <c r="D387" s="4">
        <v>74573.430000000008</v>
      </c>
      <c r="E387" s="4">
        <v>24857.81</v>
      </c>
      <c r="F387" s="4">
        <v>101747.052</v>
      </c>
    </row>
    <row r="388" spans="1:6" x14ac:dyDescent="0.2">
      <c r="A388" s="3" t="s">
        <v>9</v>
      </c>
      <c r="B388" s="3" t="s">
        <v>19</v>
      </c>
      <c r="C388" s="3">
        <v>25214.14</v>
      </c>
      <c r="D388" s="4">
        <v>75642.42</v>
      </c>
      <c r="E388" s="4">
        <v>25214.14</v>
      </c>
      <c r="F388" s="4">
        <v>101747.052</v>
      </c>
    </row>
    <row r="389" spans="1:6" x14ac:dyDescent="0.2">
      <c r="A389" s="3" t="s">
        <v>10</v>
      </c>
      <c r="B389" s="3" t="s">
        <v>19</v>
      </c>
      <c r="C389" s="3">
        <v>28585.43</v>
      </c>
      <c r="D389" s="4">
        <v>85756.290000000008</v>
      </c>
      <c r="E389" s="4">
        <v>28585.43</v>
      </c>
      <c r="F389" s="4">
        <v>101747.052</v>
      </c>
    </row>
    <row r="390" spans="1:6" x14ac:dyDescent="0.2">
      <c r="A390" s="3" t="s">
        <v>11</v>
      </c>
      <c r="B390" s="3" t="s">
        <v>19</v>
      </c>
      <c r="C390" s="3">
        <v>24694.3</v>
      </c>
      <c r="D390" s="4">
        <v>74082.899999999994</v>
      </c>
      <c r="E390" s="4">
        <v>24694.3</v>
      </c>
      <c r="F390" s="4">
        <v>101747.052</v>
      </c>
    </row>
    <row r="391" spans="1:6" x14ac:dyDescent="0.2">
      <c r="A391" s="3" t="s">
        <v>12</v>
      </c>
      <c r="B391" s="3" t="s">
        <v>19</v>
      </c>
      <c r="C391" s="3">
        <v>21066.79</v>
      </c>
      <c r="D391" s="4">
        <v>63200.37</v>
      </c>
      <c r="E391" s="4">
        <v>21066.79</v>
      </c>
      <c r="F391" s="4">
        <v>101747.052</v>
      </c>
    </row>
    <row r="392" spans="1:6" x14ac:dyDescent="0.2">
      <c r="A392" s="3" t="s">
        <v>13</v>
      </c>
      <c r="B392" s="3" t="s">
        <v>19</v>
      </c>
      <c r="C392" s="3">
        <v>21615.91</v>
      </c>
      <c r="D392" s="4">
        <v>64847.73</v>
      </c>
      <c r="E392" s="4">
        <v>21615.91</v>
      </c>
      <c r="F392" s="4">
        <v>101747.052</v>
      </c>
    </row>
    <row r="393" spans="1:6" x14ac:dyDescent="0.2">
      <c r="A393" s="3" t="s">
        <v>7</v>
      </c>
      <c r="B393" s="3" t="s">
        <v>18</v>
      </c>
      <c r="C393" s="3">
        <v>60949.07</v>
      </c>
      <c r="D393" s="4">
        <v>182847.21</v>
      </c>
      <c r="E393" s="4">
        <v>60949.07</v>
      </c>
      <c r="F393" s="4">
        <v>99634.98599999999</v>
      </c>
    </row>
    <row r="394" spans="1:6" x14ac:dyDescent="0.2">
      <c r="A394" s="3" t="s">
        <v>9</v>
      </c>
      <c r="B394" s="3" t="s">
        <v>18</v>
      </c>
      <c r="C394" s="3">
        <v>67890.66</v>
      </c>
      <c r="D394" s="4">
        <v>203671.98</v>
      </c>
      <c r="E394" s="4">
        <v>67890.66</v>
      </c>
      <c r="F394" s="4">
        <v>99634.98599999999</v>
      </c>
    </row>
    <row r="395" spans="1:6" x14ac:dyDescent="0.2">
      <c r="A395" s="3" t="s">
        <v>10</v>
      </c>
      <c r="B395" s="3" t="s">
        <v>18</v>
      </c>
      <c r="C395" s="3">
        <v>61117.72</v>
      </c>
      <c r="D395" s="4">
        <v>183353.16</v>
      </c>
      <c r="E395" s="4">
        <v>61117.72</v>
      </c>
      <c r="F395" s="4">
        <v>99634.98599999999</v>
      </c>
    </row>
    <row r="396" spans="1:6" x14ac:dyDescent="0.2">
      <c r="A396" s="3" t="s">
        <v>11</v>
      </c>
      <c r="B396" s="3" t="s">
        <v>18</v>
      </c>
      <c r="C396" s="3">
        <v>70201.929999999993</v>
      </c>
      <c r="D396" s="4">
        <v>210605.79</v>
      </c>
      <c r="E396" s="4">
        <v>70201.929999999993</v>
      </c>
      <c r="F396" s="4">
        <v>99634.98599999999</v>
      </c>
    </row>
    <row r="397" spans="1:6" x14ac:dyDescent="0.2">
      <c r="A397" s="3" t="s">
        <v>12</v>
      </c>
      <c r="B397" s="3" t="s">
        <v>18</v>
      </c>
      <c r="C397" s="3">
        <v>47543.360000000001</v>
      </c>
      <c r="D397" s="4">
        <v>142630.07999999999</v>
      </c>
      <c r="E397" s="4">
        <v>47543.360000000001</v>
      </c>
      <c r="F397" s="4">
        <v>99634.98599999999</v>
      </c>
    </row>
    <row r="398" spans="1:6" x14ac:dyDescent="0.2">
      <c r="A398" s="3" t="s">
        <v>13</v>
      </c>
      <c r="B398" s="3" t="s">
        <v>18</v>
      </c>
      <c r="C398" s="3">
        <v>76866.720000000001</v>
      </c>
      <c r="D398" s="4">
        <v>230600.16</v>
      </c>
      <c r="E398" s="4">
        <v>76866.720000000001</v>
      </c>
      <c r="F398" s="4">
        <v>99634.98599999999</v>
      </c>
    </row>
    <row r="399" spans="1:6" x14ac:dyDescent="0.2">
      <c r="A399" s="3" t="s">
        <v>7</v>
      </c>
      <c r="B399" s="3" t="s">
        <v>15</v>
      </c>
      <c r="C399" s="3">
        <v>46130.89</v>
      </c>
      <c r="D399" s="4">
        <v>138392.67000000001</v>
      </c>
      <c r="E399" s="4">
        <v>46130.89</v>
      </c>
      <c r="F399" s="4">
        <v>95796.692999999999</v>
      </c>
    </row>
    <row r="400" spans="1:6" x14ac:dyDescent="0.2">
      <c r="A400" s="3" t="s">
        <v>9</v>
      </c>
      <c r="B400" s="3" t="s">
        <v>15</v>
      </c>
      <c r="C400" s="3">
        <v>41555.230000000003</v>
      </c>
      <c r="D400" s="4">
        <v>124665.69</v>
      </c>
      <c r="E400" s="4">
        <v>41555.230000000003</v>
      </c>
      <c r="F400" s="4">
        <v>95796.692999999999</v>
      </c>
    </row>
    <row r="401" spans="1:6" x14ac:dyDescent="0.2">
      <c r="A401" s="3" t="s">
        <v>10</v>
      </c>
      <c r="B401" s="3" t="s">
        <v>15</v>
      </c>
      <c r="C401" s="3">
        <v>59249.03</v>
      </c>
      <c r="D401" s="4">
        <v>177747.09</v>
      </c>
      <c r="E401" s="4">
        <v>59249.03</v>
      </c>
      <c r="F401" s="4">
        <v>95796.692999999999</v>
      </c>
    </row>
    <row r="402" spans="1:6" x14ac:dyDescent="0.2">
      <c r="A402" s="3" t="s">
        <v>11</v>
      </c>
      <c r="B402" s="3" t="s">
        <v>15</v>
      </c>
      <c r="C402" s="3">
        <v>46799.839999999997</v>
      </c>
      <c r="D402" s="4">
        <v>140399.51999999999</v>
      </c>
      <c r="E402" s="4">
        <v>46799.839999999997</v>
      </c>
      <c r="F402" s="4">
        <v>95796.692999999999</v>
      </c>
    </row>
    <row r="403" spans="1:6" x14ac:dyDescent="0.2">
      <c r="A403" s="3" t="s">
        <v>12</v>
      </c>
      <c r="B403" s="3" t="s">
        <v>15</v>
      </c>
      <c r="C403" s="3">
        <v>48449.86</v>
      </c>
      <c r="D403" s="4">
        <v>145349.57999999999</v>
      </c>
      <c r="E403" s="4">
        <v>48449.86</v>
      </c>
      <c r="F403" s="4">
        <v>95796.692999999999</v>
      </c>
    </row>
    <row r="404" spans="1:6" x14ac:dyDescent="0.2">
      <c r="A404" s="3" t="s">
        <v>13</v>
      </c>
      <c r="B404" s="3" t="s">
        <v>15</v>
      </c>
      <c r="C404" s="3">
        <v>57355.49</v>
      </c>
      <c r="D404" s="4">
        <v>172066.47</v>
      </c>
      <c r="E404" s="4">
        <v>57355.49</v>
      </c>
      <c r="F404" s="4">
        <v>95796.692999999999</v>
      </c>
    </row>
    <row r="405" spans="1:6" x14ac:dyDescent="0.2">
      <c r="A405" s="3" t="s">
        <v>7</v>
      </c>
      <c r="B405" s="3" t="s">
        <v>8</v>
      </c>
      <c r="C405" s="3">
        <v>31068.31</v>
      </c>
      <c r="D405" s="4">
        <v>93204.930000000008</v>
      </c>
      <c r="E405" s="4">
        <v>31068.31</v>
      </c>
      <c r="F405" s="4">
        <v>91734.462</v>
      </c>
    </row>
    <row r="406" spans="1:6" x14ac:dyDescent="0.2">
      <c r="A406" s="3" t="s">
        <v>9</v>
      </c>
      <c r="B406" s="3" t="s">
        <v>8</v>
      </c>
      <c r="C406" s="3">
        <v>36033.07</v>
      </c>
      <c r="D406" s="4">
        <v>108099.21</v>
      </c>
      <c r="E406" s="4">
        <v>36033.07</v>
      </c>
      <c r="F406" s="4">
        <v>91734.462</v>
      </c>
    </row>
    <row r="407" spans="1:6" x14ac:dyDescent="0.2">
      <c r="A407" s="3" t="s">
        <v>10</v>
      </c>
      <c r="B407" s="3" t="s">
        <v>8</v>
      </c>
      <c r="C407" s="3">
        <v>50616.11</v>
      </c>
      <c r="D407" s="4">
        <v>151848.32999999999</v>
      </c>
      <c r="E407" s="4">
        <v>50616.11</v>
      </c>
      <c r="F407" s="4">
        <v>91734.462</v>
      </c>
    </row>
    <row r="408" spans="1:6" x14ac:dyDescent="0.2">
      <c r="A408" s="3" t="s">
        <v>11</v>
      </c>
      <c r="B408" s="3" t="s">
        <v>8</v>
      </c>
      <c r="C408" s="3">
        <v>40026.85</v>
      </c>
      <c r="D408" s="4">
        <v>120080.55</v>
      </c>
      <c r="E408" s="4">
        <v>40026.85</v>
      </c>
      <c r="F408" s="4">
        <v>91734.462</v>
      </c>
    </row>
    <row r="409" spans="1:6" x14ac:dyDescent="0.2">
      <c r="A409" s="3" t="s">
        <v>12</v>
      </c>
      <c r="B409" s="3" t="s">
        <v>8</v>
      </c>
      <c r="C409" s="3">
        <v>45622.37</v>
      </c>
      <c r="D409" s="4">
        <v>136867.10999999999</v>
      </c>
      <c r="E409" s="4">
        <v>45622.37</v>
      </c>
      <c r="F409" s="4">
        <v>91734.462</v>
      </c>
    </row>
    <row r="410" spans="1:6" x14ac:dyDescent="0.2">
      <c r="A410" s="3" t="s">
        <v>13</v>
      </c>
      <c r="B410" s="3" t="s">
        <v>8</v>
      </c>
      <c r="C410" s="3">
        <v>51141.45</v>
      </c>
      <c r="D410" s="4">
        <v>153424.35</v>
      </c>
      <c r="E410" s="4">
        <v>51141.45</v>
      </c>
      <c r="F410" s="4">
        <v>91734.462</v>
      </c>
    </row>
    <row r="411" spans="1:6" x14ac:dyDescent="0.2">
      <c r="A411" s="3" t="s">
        <v>7</v>
      </c>
      <c r="B411" s="3" t="s">
        <v>8</v>
      </c>
      <c r="C411" s="3">
        <v>41643.69</v>
      </c>
      <c r="D411" s="4">
        <v>124931.07</v>
      </c>
      <c r="E411" s="4">
        <v>41643.69</v>
      </c>
      <c r="F411" s="4">
        <v>91734.462</v>
      </c>
    </row>
    <row r="412" spans="1:6" x14ac:dyDescent="0.2">
      <c r="A412" s="3" t="s">
        <v>9</v>
      </c>
      <c r="B412" s="3" t="s">
        <v>8</v>
      </c>
      <c r="C412" s="3">
        <v>54155.61</v>
      </c>
      <c r="D412" s="4">
        <v>162466.82999999999</v>
      </c>
      <c r="E412" s="4">
        <v>54155.61</v>
      </c>
      <c r="F412" s="4">
        <v>91734.462</v>
      </c>
    </row>
    <row r="413" spans="1:6" x14ac:dyDescent="0.2">
      <c r="A413" s="3" t="s">
        <v>10</v>
      </c>
      <c r="B413" s="3" t="s">
        <v>8</v>
      </c>
      <c r="C413" s="3">
        <v>47206.080000000002</v>
      </c>
      <c r="D413" s="4">
        <v>141618.23999999999</v>
      </c>
      <c r="E413" s="4">
        <v>47206.080000000002</v>
      </c>
      <c r="F413" s="4">
        <v>91734.462</v>
      </c>
    </row>
    <row r="414" spans="1:6" x14ac:dyDescent="0.2">
      <c r="A414" s="3" t="s">
        <v>11</v>
      </c>
      <c r="B414" s="3" t="s">
        <v>8</v>
      </c>
      <c r="C414" s="3">
        <v>36760.97</v>
      </c>
      <c r="D414" s="4">
        <v>110282.91</v>
      </c>
      <c r="E414" s="4">
        <v>36760.97</v>
      </c>
      <c r="F414" s="4">
        <v>91734.462</v>
      </c>
    </row>
    <row r="415" spans="1:6" x14ac:dyDescent="0.2">
      <c r="A415" s="3" t="s">
        <v>12</v>
      </c>
      <c r="B415" s="3" t="s">
        <v>8</v>
      </c>
      <c r="C415" s="3">
        <v>55170.34</v>
      </c>
      <c r="D415" s="4">
        <v>165511.01999999999</v>
      </c>
      <c r="E415" s="4">
        <v>55170.34</v>
      </c>
      <c r="F415" s="4">
        <v>91734.462</v>
      </c>
    </row>
    <row r="416" spans="1:6" x14ac:dyDescent="0.2">
      <c r="A416" s="3" t="s">
        <v>13</v>
      </c>
      <c r="B416" s="3" t="s">
        <v>8</v>
      </c>
      <c r="C416" s="3">
        <v>51918.98</v>
      </c>
      <c r="D416" s="4">
        <v>155756.94</v>
      </c>
      <c r="E416" s="4">
        <v>51918.98</v>
      </c>
      <c r="F416" s="4">
        <v>91734.462</v>
      </c>
    </row>
    <row r="417" spans="1:6" x14ac:dyDescent="0.2">
      <c r="A417" s="3" t="s">
        <v>7</v>
      </c>
      <c r="B417" s="3" t="s">
        <v>15</v>
      </c>
      <c r="C417" s="3">
        <v>44663.71</v>
      </c>
      <c r="D417" s="4">
        <v>133991.13</v>
      </c>
      <c r="E417" s="4">
        <v>44663.71</v>
      </c>
      <c r="F417" s="4">
        <v>95796.692999999999</v>
      </c>
    </row>
    <row r="418" spans="1:6" x14ac:dyDescent="0.2">
      <c r="A418" s="3" t="s">
        <v>9</v>
      </c>
      <c r="B418" s="3" t="s">
        <v>15</v>
      </c>
      <c r="C418" s="3">
        <v>55042.17</v>
      </c>
      <c r="D418" s="4">
        <v>165126.51</v>
      </c>
      <c r="E418" s="4">
        <v>55042.17</v>
      </c>
      <c r="F418" s="4">
        <v>95796.692999999999</v>
      </c>
    </row>
    <row r="419" spans="1:6" x14ac:dyDescent="0.2">
      <c r="A419" s="3" t="s">
        <v>10</v>
      </c>
      <c r="B419" s="3" t="s">
        <v>15</v>
      </c>
      <c r="C419" s="3">
        <v>67693.61</v>
      </c>
      <c r="D419" s="4">
        <v>203080.83</v>
      </c>
      <c r="E419" s="4">
        <v>67693.61</v>
      </c>
      <c r="F419" s="4">
        <v>95796.692999999999</v>
      </c>
    </row>
    <row r="420" spans="1:6" x14ac:dyDescent="0.2">
      <c r="A420" s="3" t="s">
        <v>11</v>
      </c>
      <c r="B420" s="3" t="s">
        <v>15</v>
      </c>
      <c r="C420" s="3">
        <v>68589.56</v>
      </c>
      <c r="D420" s="4">
        <v>205768.68</v>
      </c>
      <c r="E420" s="4">
        <v>68589.56</v>
      </c>
      <c r="F420" s="4">
        <v>95796.692999999999</v>
      </c>
    </row>
    <row r="421" spans="1:6" x14ac:dyDescent="0.2">
      <c r="A421" s="3" t="s">
        <v>12</v>
      </c>
      <c r="B421" s="3" t="s">
        <v>15</v>
      </c>
      <c r="C421" s="3">
        <v>47427.11</v>
      </c>
      <c r="D421" s="4">
        <v>142281.32999999999</v>
      </c>
      <c r="E421" s="4">
        <v>47427.11</v>
      </c>
      <c r="F421" s="4">
        <v>95796.692999999999</v>
      </c>
    </row>
    <row r="422" spans="1:6" x14ac:dyDescent="0.2">
      <c r="A422" s="3" t="s">
        <v>13</v>
      </c>
      <c r="B422" s="3" t="s">
        <v>15</v>
      </c>
      <c r="C422" s="3">
        <v>67524.02</v>
      </c>
      <c r="D422" s="4">
        <v>202572.06</v>
      </c>
      <c r="E422" s="4">
        <v>67524.02</v>
      </c>
      <c r="F422" s="4">
        <v>95796.692999999999</v>
      </c>
    </row>
    <row r="423" spans="1:6" x14ac:dyDescent="0.2">
      <c r="A423" s="3" t="s">
        <v>7</v>
      </c>
      <c r="B423" s="3" t="s">
        <v>16</v>
      </c>
      <c r="C423" s="3">
        <v>91352.67</v>
      </c>
      <c r="D423" s="4">
        <v>274058.01</v>
      </c>
      <c r="E423" s="4">
        <v>91352.67</v>
      </c>
      <c r="F423" s="4">
        <v>94304.313000000009</v>
      </c>
    </row>
    <row r="424" spans="1:6" x14ac:dyDescent="0.2">
      <c r="A424" s="3" t="s">
        <v>9</v>
      </c>
      <c r="B424" s="3" t="s">
        <v>16</v>
      </c>
      <c r="C424" s="3">
        <v>80725.070000000007</v>
      </c>
      <c r="D424" s="4">
        <v>242175.21</v>
      </c>
      <c r="E424" s="4">
        <v>80725.070000000007</v>
      </c>
      <c r="F424" s="4">
        <v>94304.313000000009</v>
      </c>
    </row>
    <row r="425" spans="1:6" x14ac:dyDescent="0.2">
      <c r="A425" s="3" t="s">
        <v>10</v>
      </c>
      <c r="B425" s="3" t="s">
        <v>16</v>
      </c>
      <c r="C425" s="3">
        <v>96598.35</v>
      </c>
      <c r="D425" s="4">
        <v>289795.05</v>
      </c>
      <c r="E425" s="4">
        <v>96598.35</v>
      </c>
      <c r="F425" s="4">
        <v>94304.313000000009</v>
      </c>
    </row>
    <row r="426" spans="1:6" x14ac:dyDescent="0.2">
      <c r="A426" s="3" t="s">
        <v>11</v>
      </c>
      <c r="B426" s="3" t="s">
        <v>16</v>
      </c>
      <c r="C426" s="3">
        <v>66585.820000000007</v>
      </c>
      <c r="D426" s="4">
        <v>199757.46</v>
      </c>
      <c r="E426" s="4">
        <v>66585.820000000007</v>
      </c>
      <c r="F426" s="4">
        <v>94304.313000000009</v>
      </c>
    </row>
    <row r="427" spans="1:6" x14ac:dyDescent="0.2">
      <c r="A427" s="3" t="s">
        <v>12</v>
      </c>
      <c r="B427" s="3" t="s">
        <v>16</v>
      </c>
      <c r="C427" s="3">
        <v>78695.89</v>
      </c>
      <c r="D427" s="4">
        <v>236087.67</v>
      </c>
      <c r="E427" s="4">
        <v>78695.89</v>
      </c>
      <c r="F427" s="4">
        <v>94304.313000000009</v>
      </c>
    </row>
    <row r="428" spans="1:6" x14ac:dyDescent="0.2">
      <c r="A428" s="3" t="s">
        <v>13</v>
      </c>
      <c r="B428" s="3" t="s">
        <v>16</v>
      </c>
      <c r="C428" s="3">
        <v>76310.42</v>
      </c>
      <c r="D428" s="4">
        <v>228931.26</v>
      </c>
      <c r="E428" s="4">
        <v>76310.42</v>
      </c>
      <c r="F428" s="4">
        <v>94304.313000000009</v>
      </c>
    </row>
    <row r="429" spans="1:6" x14ac:dyDescent="0.2">
      <c r="A429" s="3" t="s">
        <v>7</v>
      </c>
      <c r="B429" s="3" t="s">
        <v>17</v>
      </c>
      <c r="C429" s="3">
        <v>26838.25</v>
      </c>
      <c r="D429" s="4">
        <v>80514.75</v>
      </c>
      <c r="E429" s="4">
        <v>26838.25</v>
      </c>
      <c r="F429" s="4">
        <v>83740.842000000004</v>
      </c>
    </row>
    <row r="430" spans="1:6" x14ac:dyDescent="0.2">
      <c r="A430" s="3" t="s">
        <v>9</v>
      </c>
      <c r="B430" s="3" t="s">
        <v>17</v>
      </c>
      <c r="C430" s="3">
        <v>27949.64</v>
      </c>
      <c r="D430" s="4">
        <v>83848.92</v>
      </c>
      <c r="E430" s="4">
        <v>27949.64</v>
      </c>
      <c r="F430" s="4">
        <v>83740.842000000004</v>
      </c>
    </row>
    <row r="431" spans="1:6" x14ac:dyDescent="0.2">
      <c r="A431" s="3" t="s">
        <v>10</v>
      </c>
      <c r="B431" s="3" t="s">
        <v>17</v>
      </c>
      <c r="C431" s="3">
        <v>30557.99</v>
      </c>
      <c r="D431" s="4">
        <v>91673.97</v>
      </c>
      <c r="E431" s="4">
        <v>30557.99</v>
      </c>
      <c r="F431" s="4">
        <v>83740.842000000004</v>
      </c>
    </row>
    <row r="432" spans="1:6" x14ac:dyDescent="0.2">
      <c r="A432" s="3" t="s">
        <v>11</v>
      </c>
      <c r="B432" s="3" t="s">
        <v>17</v>
      </c>
      <c r="C432" s="3">
        <v>25658.35</v>
      </c>
      <c r="D432" s="4">
        <v>76975.049999999988</v>
      </c>
      <c r="E432" s="4">
        <v>25658.35</v>
      </c>
      <c r="F432" s="4">
        <v>83740.842000000004</v>
      </c>
    </row>
    <row r="433" spans="1:6" x14ac:dyDescent="0.2">
      <c r="A433" s="3" t="s">
        <v>12</v>
      </c>
      <c r="B433" s="3" t="s">
        <v>17</v>
      </c>
      <c r="C433" s="3">
        <v>36306.769999999997</v>
      </c>
      <c r="D433" s="4">
        <v>108920.31</v>
      </c>
      <c r="E433" s="4">
        <v>36306.769999999997</v>
      </c>
      <c r="F433" s="4">
        <v>83740.842000000004</v>
      </c>
    </row>
    <row r="434" spans="1:6" x14ac:dyDescent="0.2">
      <c r="A434" s="3" t="s">
        <v>13</v>
      </c>
      <c r="B434" s="3" t="s">
        <v>17</v>
      </c>
      <c r="C434" s="3">
        <v>35651.5</v>
      </c>
      <c r="D434" s="4">
        <v>106954.5</v>
      </c>
      <c r="E434" s="4">
        <v>35651.5</v>
      </c>
      <c r="F434" s="4">
        <v>83740.842000000004</v>
      </c>
    </row>
    <row r="435" spans="1:6" x14ac:dyDescent="0.2">
      <c r="A435" s="3" t="s">
        <v>7</v>
      </c>
      <c r="B435" s="3" t="s">
        <v>21</v>
      </c>
      <c r="C435" s="3">
        <v>72053.58</v>
      </c>
      <c r="D435" s="4">
        <v>216160.74</v>
      </c>
      <c r="E435" s="4">
        <v>72053.58</v>
      </c>
      <c r="F435" s="4">
        <v>100474.88400000001</v>
      </c>
    </row>
    <row r="436" spans="1:6" x14ac:dyDescent="0.2">
      <c r="A436" s="3" t="s">
        <v>9</v>
      </c>
      <c r="B436" s="3" t="s">
        <v>21</v>
      </c>
      <c r="C436" s="3">
        <v>68854.55</v>
      </c>
      <c r="D436" s="4">
        <v>206563.65</v>
      </c>
      <c r="E436" s="4">
        <v>68854.55</v>
      </c>
      <c r="F436" s="4">
        <v>100474.88400000001</v>
      </c>
    </row>
    <row r="437" spans="1:6" x14ac:dyDescent="0.2">
      <c r="A437" s="3" t="s">
        <v>10</v>
      </c>
      <c r="B437" s="3" t="s">
        <v>21</v>
      </c>
      <c r="C437" s="3">
        <v>50712.31</v>
      </c>
      <c r="D437" s="4">
        <v>152136.93</v>
      </c>
      <c r="E437" s="4">
        <v>50712.31</v>
      </c>
      <c r="F437" s="4">
        <v>100474.88400000001</v>
      </c>
    </row>
    <row r="438" spans="1:6" x14ac:dyDescent="0.2">
      <c r="A438" s="3" t="s">
        <v>11</v>
      </c>
      <c r="B438" s="3" t="s">
        <v>21</v>
      </c>
      <c r="C438" s="3">
        <v>60646.29</v>
      </c>
      <c r="D438" s="4">
        <v>181938.87</v>
      </c>
      <c r="E438" s="4">
        <v>60646.29</v>
      </c>
      <c r="F438" s="4">
        <v>100474.88400000001</v>
      </c>
    </row>
    <row r="439" spans="1:6" x14ac:dyDescent="0.2">
      <c r="A439" s="3" t="s">
        <v>12</v>
      </c>
      <c r="B439" s="3" t="s">
        <v>21</v>
      </c>
      <c r="C439" s="3">
        <v>57968.26</v>
      </c>
      <c r="D439" s="4">
        <v>173904.78</v>
      </c>
      <c r="E439" s="4">
        <v>57968.26</v>
      </c>
      <c r="F439" s="4">
        <v>100474.88400000001</v>
      </c>
    </row>
    <row r="440" spans="1:6" x14ac:dyDescent="0.2">
      <c r="A440" s="3" t="s">
        <v>13</v>
      </c>
      <c r="B440" s="3" t="s">
        <v>21</v>
      </c>
      <c r="C440" s="3">
        <v>78241.95</v>
      </c>
      <c r="D440" s="4">
        <v>234725.85</v>
      </c>
      <c r="E440" s="4">
        <v>78241.95</v>
      </c>
      <c r="F440" s="4">
        <v>100474.88400000001</v>
      </c>
    </row>
    <row r="441" spans="1:6" x14ac:dyDescent="0.2">
      <c r="A441" s="3" t="s">
        <v>7</v>
      </c>
      <c r="B441" s="3" t="s">
        <v>19</v>
      </c>
      <c r="C441" s="3">
        <v>80840.34</v>
      </c>
      <c r="D441" s="4">
        <v>242521.02</v>
      </c>
      <c r="E441" s="4">
        <v>80840.34</v>
      </c>
      <c r="F441" s="4">
        <v>101747.052</v>
      </c>
    </row>
    <row r="442" spans="1:6" x14ac:dyDescent="0.2">
      <c r="A442" s="3" t="s">
        <v>9</v>
      </c>
      <c r="B442" s="3" t="s">
        <v>19</v>
      </c>
      <c r="C442" s="3">
        <v>74895.210000000006</v>
      </c>
      <c r="D442" s="4">
        <v>224685.63</v>
      </c>
      <c r="E442" s="4">
        <v>74895.210000000006</v>
      </c>
      <c r="F442" s="4">
        <v>101747.052</v>
      </c>
    </row>
    <row r="443" spans="1:6" x14ac:dyDescent="0.2">
      <c r="A443" s="3" t="s">
        <v>10</v>
      </c>
      <c r="B443" s="3" t="s">
        <v>19</v>
      </c>
      <c r="C443" s="3">
        <v>54332.51</v>
      </c>
      <c r="D443" s="4">
        <v>162997.53</v>
      </c>
      <c r="E443" s="4">
        <v>54332.51</v>
      </c>
      <c r="F443" s="4">
        <v>101747.052</v>
      </c>
    </row>
    <row r="444" spans="1:6" x14ac:dyDescent="0.2">
      <c r="A444" s="3" t="s">
        <v>11</v>
      </c>
      <c r="B444" s="3" t="s">
        <v>19</v>
      </c>
      <c r="C444" s="3">
        <v>66284.84</v>
      </c>
      <c r="D444" s="4">
        <v>198854.52</v>
      </c>
      <c r="E444" s="4">
        <v>66284.84</v>
      </c>
      <c r="F444" s="4">
        <v>101747.052</v>
      </c>
    </row>
    <row r="445" spans="1:6" x14ac:dyDescent="0.2">
      <c r="A445" s="3" t="s">
        <v>12</v>
      </c>
      <c r="B445" s="3" t="s">
        <v>19</v>
      </c>
      <c r="C445" s="3">
        <v>72083.350000000006</v>
      </c>
      <c r="D445" s="4">
        <v>216250.05</v>
      </c>
      <c r="E445" s="4">
        <v>72083.350000000006</v>
      </c>
      <c r="F445" s="4">
        <v>101747.052</v>
      </c>
    </row>
    <row r="446" spans="1:6" x14ac:dyDescent="0.2">
      <c r="A446" s="3" t="s">
        <v>13</v>
      </c>
      <c r="B446" s="3" t="s">
        <v>19</v>
      </c>
      <c r="C446" s="3">
        <v>71375.42</v>
      </c>
      <c r="D446" s="4">
        <v>214126.26</v>
      </c>
      <c r="E446" s="4">
        <v>71375.42</v>
      </c>
      <c r="F446" s="4">
        <v>101747.052</v>
      </c>
    </row>
    <row r="447" spans="1:6" x14ac:dyDescent="0.2">
      <c r="A447" s="3" t="s">
        <v>7</v>
      </c>
      <c r="B447" s="3" t="s">
        <v>16</v>
      </c>
      <c r="C447" s="3">
        <v>19978.36</v>
      </c>
      <c r="D447" s="4">
        <v>59935.08</v>
      </c>
      <c r="E447" s="4">
        <v>19978.36</v>
      </c>
      <c r="F447" s="4">
        <v>94304.313000000009</v>
      </c>
    </row>
    <row r="448" spans="1:6" x14ac:dyDescent="0.2">
      <c r="A448" s="3" t="s">
        <v>9</v>
      </c>
      <c r="B448" s="3" t="s">
        <v>16</v>
      </c>
      <c r="C448" s="3">
        <v>20933.400000000001</v>
      </c>
      <c r="D448" s="4">
        <v>62800.2</v>
      </c>
      <c r="E448" s="4">
        <v>20933.400000000001</v>
      </c>
      <c r="F448" s="4">
        <v>94304.313000000009</v>
      </c>
    </row>
    <row r="449" spans="1:6" x14ac:dyDescent="0.2">
      <c r="A449" s="3" t="s">
        <v>10</v>
      </c>
      <c r="B449" s="3" t="s">
        <v>16</v>
      </c>
      <c r="C449" s="3">
        <v>27224.7</v>
      </c>
      <c r="D449" s="4">
        <v>81674.100000000006</v>
      </c>
      <c r="E449" s="4">
        <v>27224.7</v>
      </c>
      <c r="F449" s="4">
        <v>94304.313000000009</v>
      </c>
    </row>
    <row r="450" spans="1:6" x14ac:dyDescent="0.2">
      <c r="A450" s="3" t="s">
        <v>11</v>
      </c>
      <c r="B450" s="3" t="s">
        <v>16</v>
      </c>
      <c r="C450" s="3">
        <v>32498.57</v>
      </c>
      <c r="D450" s="4">
        <v>97495.709999999992</v>
      </c>
      <c r="E450" s="4">
        <v>32498.57</v>
      </c>
      <c r="F450" s="4">
        <v>94304.313000000009</v>
      </c>
    </row>
    <row r="451" spans="1:6" x14ac:dyDescent="0.2">
      <c r="A451" s="3" t="s">
        <v>12</v>
      </c>
      <c r="B451" s="3" t="s">
        <v>16</v>
      </c>
      <c r="C451" s="3">
        <v>31846.1</v>
      </c>
      <c r="D451" s="4">
        <v>95538.299999999988</v>
      </c>
      <c r="E451" s="4">
        <v>31846.1</v>
      </c>
      <c r="F451" s="4">
        <v>94304.313000000009</v>
      </c>
    </row>
    <row r="452" spans="1:6" x14ac:dyDescent="0.2">
      <c r="A452" s="3" t="s">
        <v>13</v>
      </c>
      <c r="B452" s="3" t="s">
        <v>16</v>
      </c>
      <c r="C452" s="3">
        <v>34679.19</v>
      </c>
      <c r="D452" s="4">
        <v>104037.57</v>
      </c>
      <c r="E452" s="4">
        <v>34679.19</v>
      </c>
      <c r="F452" s="4">
        <v>94304.313000000009</v>
      </c>
    </row>
    <row r="453" spans="1:6" x14ac:dyDescent="0.2">
      <c r="A453" s="3" t="s">
        <v>7</v>
      </c>
      <c r="B453" s="3" t="s">
        <v>8</v>
      </c>
      <c r="C453" s="3">
        <v>36776.1</v>
      </c>
      <c r="D453" s="4">
        <v>110328.3</v>
      </c>
      <c r="E453" s="4">
        <v>36776.1</v>
      </c>
      <c r="F453" s="4">
        <v>91734.462</v>
      </c>
    </row>
    <row r="454" spans="1:6" x14ac:dyDescent="0.2">
      <c r="A454" s="3" t="s">
        <v>9</v>
      </c>
      <c r="B454" s="3" t="s">
        <v>8</v>
      </c>
      <c r="C454" s="3">
        <v>48790.95</v>
      </c>
      <c r="D454" s="4">
        <v>146372.85</v>
      </c>
      <c r="E454" s="4">
        <v>48790.95</v>
      </c>
      <c r="F454" s="4">
        <v>91734.462</v>
      </c>
    </row>
    <row r="455" spans="1:6" x14ac:dyDescent="0.2">
      <c r="A455" s="3" t="s">
        <v>10</v>
      </c>
      <c r="B455" s="3" t="s">
        <v>8</v>
      </c>
      <c r="C455" s="3">
        <v>54662.69</v>
      </c>
      <c r="D455" s="4">
        <v>163988.07</v>
      </c>
      <c r="E455" s="4">
        <v>54662.69</v>
      </c>
      <c r="F455" s="4">
        <v>91734.462</v>
      </c>
    </row>
    <row r="456" spans="1:6" x14ac:dyDescent="0.2">
      <c r="A456" s="3" t="s">
        <v>11</v>
      </c>
      <c r="B456" s="3" t="s">
        <v>8</v>
      </c>
      <c r="C456" s="3">
        <v>56415.62</v>
      </c>
      <c r="D456" s="4">
        <v>169246.86</v>
      </c>
      <c r="E456" s="4">
        <v>56415.62</v>
      </c>
      <c r="F456" s="4">
        <v>91734.462</v>
      </c>
    </row>
    <row r="457" spans="1:6" x14ac:dyDescent="0.2">
      <c r="A457" s="3" t="s">
        <v>12</v>
      </c>
      <c r="B457" s="3" t="s">
        <v>8</v>
      </c>
      <c r="C457" s="3">
        <v>39619.980000000003</v>
      </c>
      <c r="D457" s="4">
        <v>118859.94</v>
      </c>
      <c r="E457" s="4">
        <v>39619.980000000003</v>
      </c>
      <c r="F457" s="4">
        <v>91734.462</v>
      </c>
    </row>
    <row r="458" spans="1:6" x14ac:dyDescent="0.2">
      <c r="A458" s="3" t="s">
        <v>13</v>
      </c>
      <c r="B458" s="3" t="s">
        <v>8</v>
      </c>
      <c r="C458" s="3">
        <v>46040.72</v>
      </c>
      <c r="D458" s="4">
        <v>138122.16</v>
      </c>
      <c r="E458" s="4">
        <v>46040.72</v>
      </c>
      <c r="F458" s="4">
        <v>91734.462</v>
      </c>
    </row>
    <row r="459" spans="1:6" x14ac:dyDescent="0.2">
      <c r="A459" s="3" t="s">
        <v>7</v>
      </c>
      <c r="B459" s="3" t="s">
        <v>8</v>
      </c>
      <c r="C459" s="3">
        <v>36245.71</v>
      </c>
      <c r="D459" s="4">
        <v>108737.13</v>
      </c>
      <c r="E459" s="4">
        <v>36245.71</v>
      </c>
      <c r="F459" s="4">
        <v>91734.462</v>
      </c>
    </row>
    <row r="460" spans="1:6" x14ac:dyDescent="0.2">
      <c r="A460" s="3" t="s">
        <v>9</v>
      </c>
      <c r="B460" s="3" t="s">
        <v>8</v>
      </c>
      <c r="C460" s="3">
        <v>46908.98</v>
      </c>
      <c r="D460" s="4">
        <v>140726.94</v>
      </c>
      <c r="E460" s="4">
        <v>46908.98</v>
      </c>
      <c r="F460" s="4">
        <v>91734.462</v>
      </c>
    </row>
    <row r="461" spans="1:6" x14ac:dyDescent="0.2">
      <c r="A461" s="3" t="s">
        <v>10</v>
      </c>
      <c r="B461" s="3" t="s">
        <v>8</v>
      </c>
      <c r="C461" s="3">
        <v>56224.01</v>
      </c>
      <c r="D461" s="4">
        <v>168672.03</v>
      </c>
      <c r="E461" s="4">
        <v>56224.01</v>
      </c>
      <c r="F461" s="4">
        <v>91734.462</v>
      </c>
    </row>
    <row r="462" spans="1:6" x14ac:dyDescent="0.2">
      <c r="A462" s="3" t="s">
        <v>11</v>
      </c>
      <c r="B462" s="3" t="s">
        <v>8</v>
      </c>
      <c r="C462" s="3">
        <v>49261.86</v>
      </c>
      <c r="D462" s="4">
        <v>147785.57999999999</v>
      </c>
      <c r="E462" s="4">
        <v>49261.86</v>
      </c>
      <c r="F462" s="4">
        <v>91734.462</v>
      </c>
    </row>
    <row r="463" spans="1:6" x14ac:dyDescent="0.2">
      <c r="A463" s="3" t="s">
        <v>12</v>
      </c>
      <c r="B463" s="3" t="s">
        <v>8</v>
      </c>
      <c r="C463" s="3">
        <v>53455.05</v>
      </c>
      <c r="D463" s="4">
        <v>160365.15</v>
      </c>
      <c r="E463" s="4">
        <v>53455.05</v>
      </c>
      <c r="F463" s="4">
        <v>91734.462</v>
      </c>
    </row>
    <row r="464" spans="1:6" x14ac:dyDescent="0.2">
      <c r="A464" s="3" t="s">
        <v>13</v>
      </c>
      <c r="B464" s="3" t="s">
        <v>8</v>
      </c>
      <c r="C464" s="3">
        <v>54838.04</v>
      </c>
      <c r="D464" s="4">
        <v>164514.12</v>
      </c>
      <c r="E464" s="4">
        <v>54838.04</v>
      </c>
      <c r="F464" s="4">
        <v>91734.462</v>
      </c>
    </row>
    <row r="465" spans="1:6" x14ac:dyDescent="0.2">
      <c r="A465" s="3" t="s">
        <v>7</v>
      </c>
      <c r="B465" s="3" t="s">
        <v>15</v>
      </c>
      <c r="C465" s="3">
        <v>37550.449999999997</v>
      </c>
      <c r="D465" s="4">
        <v>112651.35</v>
      </c>
      <c r="E465" s="4">
        <v>37550.449999999997</v>
      </c>
      <c r="F465" s="4">
        <v>95796.692999999999</v>
      </c>
    </row>
    <row r="466" spans="1:6" x14ac:dyDescent="0.2">
      <c r="A466" s="3" t="s">
        <v>9</v>
      </c>
      <c r="B466" s="3" t="s">
        <v>15</v>
      </c>
      <c r="C466" s="3">
        <v>50237.52</v>
      </c>
      <c r="D466" s="4">
        <v>150712.56</v>
      </c>
      <c r="E466" s="4">
        <v>50237.52</v>
      </c>
      <c r="F466" s="4">
        <v>95796.692999999999</v>
      </c>
    </row>
    <row r="467" spans="1:6" x14ac:dyDescent="0.2">
      <c r="A467" s="3" t="s">
        <v>10</v>
      </c>
      <c r="B467" s="3" t="s">
        <v>15</v>
      </c>
      <c r="C467" s="3">
        <v>41250.879999999997</v>
      </c>
      <c r="D467" s="4">
        <v>123752.64</v>
      </c>
      <c r="E467" s="4">
        <v>41250.879999999997</v>
      </c>
      <c r="F467" s="4">
        <v>95796.692999999999</v>
      </c>
    </row>
    <row r="468" spans="1:6" x14ac:dyDescent="0.2">
      <c r="A468" s="3" t="s">
        <v>11</v>
      </c>
      <c r="B468" s="3" t="s">
        <v>15</v>
      </c>
      <c r="C468" s="3">
        <v>48442.43</v>
      </c>
      <c r="D468" s="4">
        <v>145327.29</v>
      </c>
      <c r="E468" s="4">
        <v>48442.43</v>
      </c>
      <c r="F468" s="4">
        <v>95796.692999999999</v>
      </c>
    </row>
    <row r="469" spans="1:6" x14ac:dyDescent="0.2">
      <c r="A469" s="3" t="s">
        <v>12</v>
      </c>
      <c r="B469" s="3" t="s">
        <v>15</v>
      </c>
      <c r="C469" s="3">
        <v>45952.75</v>
      </c>
      <c r="D469" s="4">
        <v>137858.25</v>
      </c>
      <c r="E469" s="4">
        <v>45952.75</v>
      </c>
      <c r="F469" s="4">
        <v>95796.692999999999</v>
      </c>
    </row>
    <row r="470" spans="1:6" x14ac:dyDescent="0.2">
      <c r="A470" s="3" t="s">
        <v>13</v>
      </c>
      <c r="B470" s="3" t="s">
        <v>15</v>
      </c>
      <c r="C470" s="3">
        <v>44390.3</v>
      </c>
      <c r="D470" s="4">
        <v>133170.9</v>
      </c>
      <c r="E470" s="4">
        <v>44390.3</v>
      </c>
      <c r="F470" s="4">
        <v>95796.692999999999</v>
      </c>
    </row>
    <row r="471" spans="1:6" x14ac:dyDescent="0.2">
      <c r="A471" s="3" t="s">
        <v>7</v>
      </c>
      <c r="B471" s="3" t="s">
        <v>15</v>
      </c>
      <c r="C471" s="3">
        <v>57739.61</v>
      </c>
      <c r="D471" s="4">
        <v>173218.83</v>
      </c>
      <c r="E471" s="4">
        <v>57739.61</v>
      </c>
      <c r="F471" s="4">
        <v>95796.692999999999</v>
      </c>
    </row>
    <row r="472" spans="1:6" x14ac:dyDescent="0.2">
      <c r="A472" s="3" t="s">
        <v>9</v>
      </c>
      <c r="B472" s="3" t="s">
        <v>15</v>
      </c>
      <c r="C472" s="3">
        <v>67420.59</v>
      </c>
      <c r="D472" s="4">
        <v>202261.77</v>
      </c>
      <c r="E472" s="4">
        <v>67420.59</v>
      </c>
      <c r="F472" s="4">
        <v>95796.692999999999</v>
      </c>
    </row>
    <row r="473" spans="1:6" x14ac:dyDescent="0.2">
      <c r="A473" s="3" t="s">
        <v>10</v>
      </c>
      <c r="B473" s="3" t="s">
        <v>15</v>
      </c>
      <c r="C473" s="3">
        <v>76965.91</v>
      </c>
      <c r="D473" s="4">
        <v>230897.73</v>
      </c>
      <c r="E473" s="4">
        <v>76965.91</v>
      </c>
      <c r="F473" s="4">
        <v>95796.692999999999</v>
      </c>
    </row>
    <row r="474" spans="1:6" x14ac:dyDescent="0.2">
      <c r="A474" s="3" t="s">
        <v>11</v>
      </c>
      <c r="B474" s="3" t="s">
        <v>15</v>
      </c>
      <c r="C474" s="3">
        <v>67325.67</v>
      </c>
      <c r="D474" s="4">
        <v>201977.01</v>
      </c>
      <c r="E474" s="4">
        <v>67325.67</v>
      </c>
      <c r="F474" s="4">
        <v>95796.692999999999</v>
      </c>
    </row>
    <row r="475" spans="1:6" x14ac:dyDescent="0.2">
      <c r="A475" s="3" t="s">
        <v>12</v>
      </c>
      <c r="B475" s="3" t="s">
        <v>15</v>
      </c>
      <c r="C475" s="3">
        <v>69500.88</v>
      </c>
      <c r="D475" s="4">
        <v>208502.64</v>
      </c>
      <c r="E475" s="4">
        <v>69500.88</v>
      </c>
      <c r="F475" s="4">
        <v>95796.692999999999</v>
      </c>
    </row>
    <row r="476" spans="1:6" x14ac:dyDescent="0.2">
      <c r="A476" s="3" t="s">
        <v>13</v>
      </c>
      <c r="B476" s="3" t="s">
        <v>15</v>
      </c>
      <c r="C476" s="3">
        <v>71824.039999999994</v>
      </c>
      <c r="D476" s="4">
        <v>215472.12</v>
      </c>
      <c r="E476" s="4">
        <v>71824.039999999994</v>
      </c>
      <c r="F476" s="4">
        <v>95796.692999999999</v>
      </c>
    </row>
    <row r="477" spans="1:6" x14ac:dyDescent="0.2">
      <c r="A477" s="3" t="s">
        <v>7</v>
      </c>
      <c r="B477" s="3" t="s">
        <v>8</v>
      </c>
      <c r="C477" s="3">
        <v>51133.62</v>
      </c>
      <c r="D477" s="4">
        <v>153400.85999999999</v>
      </c>
      <c r="E477" s="4">
        <v>51133.62</v>
      </c>
      <c r="F477" s="4">
        <v>91734.462</v>
      </c>
    </row>
    <row r="478" spans="1:6" x14ac:dyDescent="0.2">
      <c r="A478" s="3" t="s">
        <v>9</v>
      </c>
      <c r="B478" s="3" t="s">
        <v>8</v>
      </c>
      <c r="C478" s="3">
        <v>44778.14</v>
      </c>
      <c r="D478" s="4">
        <v>134334.42000000001</v>
      </c>
      <c r="E478" s="4">
        <v>44778.14</v>
      </c>
      <c r="F478" s="4">
        <v>91734.462</v>
      </c>
    </row>
    <row r="479" spans="1:6" x14ac:dyDescent="0.2">
      <c r="A479" s="3" t="s">
        <v>10</v>
      </c>
      <c r="B479" s="3" t="s">
        <v>8</v>
      </c>
      <c r="C479" s="3">
        <v>39008.89</v>
      </c>
      <c r="D479" s="4">
        <v>117026.67</v>
      </c>
      <c r="E479" s="4">
        <v>39008.89</v>
      </c>
      <c r="F479" s="4">
        <v>91734.462</v>
      </c>
    </row>
    <row r="480" spans="1:6" x14ac:dyDescent="0.2">
      <c r="A480" s="3" t="s">
        <v>11</v>
      </c>
      <c r="B480" s="3" t="s">
        <v>8</v>
      </c>
      <c r="C480" s="3">
        <v>43212.56</v>
      </c>
      <c r="D480" s="4">
        <v>129637.68</v>
      </c>
      <c r="E480" s="4">
        <v>43212.56</v>
      </c>
      <c r="F480" s="4">
        <v>91734.462</v>
      </c>
    </row>
    <row r="481" spans="1:6" x14ac:dyDescent="0.2">
      <c r="A481" s="3" t="s">
        <v>12</v>
      </c>
      <c r="B481" s="3" t="s">
        <v>8</v>
      </c>
      <c r="C481" s="3">
        <v>43655.27</v>
      </c>
      <c r="D481" s="4">
        <v>130965.81</v>
      </c>
      <c r="E481" s="4">
        <v>43655.27</v>
      </c>
      <c r="F481" s="4">
        <v>91734.462</v>
      </c>
    </row>
    <row r="482" spans="1:6" x14ac:dyDescent="0.2">
      <c r="A482" s="3" t="s">
        <v>13</v>
      </c>
      <c r="B482" s="3" t="s">
        <v>8</v>
      </c>
      <c r="C482" s="3">
        <v>38149.800000000003</v>
      </c>
      <c r="D482" s="4">
        <v>114449.4</v>
      </c>
      <c r="E482" s="4">
        <v>38149.800000000003</v>
      </c>
      <c r="F482" s="4">
        <v>91734.462</v>
      </c>
    </row>
    <row r="483" spans="1:6" x14ac:dyDescent="0.2">
      <c r="A483" s="3" t="s">
        <v>7</v>
      </c>
      <c r="B483" s="3" t="s">
        <v>16</v>
      </c>
      <c r="C483" s="3">
        <v>52843.82</v>
      </c>
      <c r="D483" s="4">
        <v>158531.46</v>
      </c>
      <c r="E483" s="4">
        <v>52843.82</v>
      </c>
      <c r="F483" s="4">
        <v>94304.313000000009</v>
      </c>
    </row>
    <row r="484" spans="1:6" x14ac:dyDescent="0.2">
      <c r="A484" s="3" t="s">
        <v>9</v>
      </c>
      <c r="B484" s="3" t="s">
        <v>16</v>
      </c>
      <c r="C484" s="3">
        <v>55588.18</v>
      </c>
      <c r="D484" s="4">
        <v>166764.54</v>
      </c>
      <c r="E484" s="4">
        <v>55588.18</v>
      </c>
      <c r="F484" s="4">
        <v>94304.313000000009</v>
      </c>
    </row>
    <row r="485" spans="1:6" x14ac:dyDescent="0.2">
      <c r="A485" s="3" t="s">
        <v>10</v>
      </c>
      <c r="B485" s="3" t="s">
        <v>16</v>
      </c>
      <c r="C485" s="3">
        <v>60942.47</v>
      </c>
      <c r="D485" s="4">
        <v>182827.41</v>
      </c>
      <c r="E485" s="4">
        <v>60942.47</v>
      </c>
      <c r="F485" s="4">
        <v>94304.313000000009</v>
      </c>
    </row>
    <row r="486" spans="1:6" x14ac:dyDescent="0.2">
      <c r="A486" s="3" t="s">
        <v>11</v>
      </c>
      <c r="B486" s="3" t="s">
        <v>16</v>
      </c>
      <c r="C486" s="3">
        <v>52640.79</v>
      </c>
      <c r="D486" s="4">
        <v>157922.37</v>
      </c>
      <c r="E486" s="4">
        <v>52640.79</v>
      </c>
      <c r="F486" s="4">
        <v>94304.313000000009</v>
      </c>
    </row>
    <row r="487" spans="1:6" x14ac:dyDescent="0.2">
      <c r="A487" s="3" t="s">
        <v>12</v>
      </c>
      <c r="B487" s="3" t="s">
        <v>16</v>
      </c>
      <c r="C487" s="3">
        <v>64372.1</v>
      </c>
      <c r="D487" s="4">
        <v>193116.3</v>
      </c>
      <c r="E487" s="4">
        <v>64372.1</v>
      </c>
      <c r="F487" s="4">
        <v>94304.313000000009</v>
      </c>
    </row>
    <row r="488" spans="1:6" x14ac:dyDescent="0.2">
      <c r="A488" s="3" t="s">
        <v>13</v>
      </c>
      <c r="B488" s="3" t="s">
        <v>16</v>
      </c>
      <c r="C488" s="3">
        <v>80918.2</v>
      </c>
      <c r="D488" s="4">
        <v>242754.6</v>
      </c>
      <c r="E488" s="4">
        <v>80918.2</v>
      </c>
      <c r="F488" s="4">
        <v>94304.313000000009</v>
      </c>
    </row>
    <row r="489" spans="1:6" x14ac:dyDescent="0.2">
      <c r="A489" s="3" t="s">
        <v>7</v>
      </c>
      <c r="B489" s="3" t="s">
        <v>17</v>
      </c>
      <c r="C489" s="3">
        <v>55745.5</v>
      </c>
      <c r="D489" s="4">
        <v>167236.5</v>
      </c>
      <c r="E489" s="4">
        <v>55745.5</v>
      </c>
      <c r="F489" s="4">
        <v>83740.842000000004</v>
      </c>
    </row>
    <row r="490" spans="1:6" x14ac:dyDescent="0.2">
      <c r="A490" s="3" t="s">
        <v>9</v>
      </c>
      <c r="B490" s="3" t="s">
        <v>17</v>
      </c>
      <c r="C490" s="3">
        <v>44903.61</v>
      </c>
      <c r="D490" s="4">
        <v>134710.82999999999</v>
      </c>
      <c r="E490" s="4">
        <v>44903.61</v>
      </c>
      <c r="F490" s="4">
        <v>83740.842000000004</v>
      </c>
    </row>
    <row r="491" spans="1:6" x14ac:dyDescent="0.2">
      <c r="A491" s="3" t="s">
        <v>10</v>
      </c>
      <c r="B491" s="3" t="s">
        <v>17</v>
      </c>
      <c r="C491" s="3">
        <v>60681.17</v>
      </c>
      <c r="D491" s="4">
        <v>182043.51</v>
      </c>
      <c r="E491" s="4">
        <v>60681.17</v>
      </c>
      <c r="F491" s="4">
        <v>83740.842000000004</v>
      </c>
    </row>
    <row r="492" spans="1:6" x14ac:dyDescent="0.2">
      <c r="A492" s="3" t="s">
        <v>11</v>
      </c>
      <c r="B492" s="3" t="s">
        <v>17</v>
      </c>
      <c r="C492" s="3">
        <v>64225.9</v>
      </c>
      <c r="D492" s="4">
        <v>192677.7</v>
      </c>
      <c r="E492" s="4">
        <v>64225.9</v>
      </c>
      <c r="F492" s="4">
        <v>83740.842000000004</v>
      </c>
    </row>
    <row r="493" spans="1:6" x14ac:dyDescent="0.2">
      <c r="A493" s="3" t="s">
        <v>12</v>
      </c>
      <c r="B493" s="3" t="s">
        <v>17</v>
      </c>
      <c r="C493" s="3">
        <v>47758.559999999998</v>
      </c>
      <c r="D493" s="4">
        <v>143275.68</v>
      </c>
      <c r="E493" s="4">
        <v>47758.559999999998</v>
      </c>
      <c r="F493" s="4">
        <v>83740.842000000004</v>
      </c>
    </row>
    <row r="494" spans="1:6" x14ac:dyDescent="0.2">
      <c r="A494" s="3" t="s">
        <v>13</v>
      </c>
      <c r="B494" s="3" t="s">
        <v>17</v>
      </c>
      <c r="C494" s="3">
        <v>55294.5</v>
      </c>
      <c r="D494" s="4">
        <v>165883.5</v>
      </c>
      <c r="E494" s="4">
        <v>55294.5</v>
      </c>
      <c r="F494" s="4">
        <v>83740.842000000004</v>
      </c>
    </row>
    <row r="495" spans="1:6" x14ac:dyDescent="0.2">
      <c r="A495" s="3" t="s">
        <v>7</v>
      </c>
      <c r="B495" s="3" t="s">
        <v>17</v>
      </c>
      <c r="C495" s="3">
        <v>45220.33</v>
      </c>
      <c r="D495" s="4">
        <v>135660.99</v>
      </c>
      <c r="E495" s="4">
        <v>45220.33</v>
      </c>
      <c r="F495" s="4">
        <v>83740.842000000004</v>
      </c>
    </row>
    <row r="496" spans="1:6" x14ac:dyDescent="0.2">
      <c r="A496" s="3" t="s">
        <v>9</v>
      </c>
      <c r="B496" s="3" t="s">
        <v>17</v>
      </c>
      <c r="C496" s="3">
        <v>44990.44</v>
      </c>
      <c r="D496" s="4">
        <v>134971.32</v>
      </c>
      <c r="E496" s="4">
        <v>44990.44</v>
      </c>
      <c r="F496" s="4">
        <v>83740.842000000004</v>
      </c>
    </row>
    <row r="497" spans="1:6" x14ac:dyDescent="0.2">
      <c r="A497" s="3" t="s">
        <v>10</v>
      </c>
      <c r="B497" s="3" t="s">
        <v>17</v>
      </c>
      <c r="C497" s="3">
        <v>33936.620000000003</v>
      </c>
      <c r="D497" s="4">
        <v>101809.86</v>
      </c>
      <c r="E497" s="4">
        <v>33936.620000000003</v>
      </c>
      <c r="F497" s="4">
        <v>83740.842000000004</v>
      </c>
    </row>
    <row r="498" spans="1:6" x14ac:dyDescent="0.2">
      <c r="A498" s="3" t="s">
        <v>11</v>
      </c>
      <c r="B498" s="3" t="s">
        <v>17</v>
      </c>
      <c r="C498" s="3">
        <v>35379.75</v>
      </c>
      <c r="D498" s="4">
        <v>106139.25</v>
      </c>
      <c r="E498" s="4">
        <v>35379.75</v>
      </c>
      <c r="F498" s="4">
        <v>83740.842000000004</v>
      </c>
    </row>
    <row r="499" spans="1:6" x14ac:dyDescent="0.2">
      <c r="A499" s="3" t="s">
        <v>12</v>
      </c>
      <c r="B499" s="3" t="s">
        <v>17</v>
      </c>
      <c r="C499" s="3">
        <v>53030.03</v>
      </c>
      <c r="D499" s="4">
        <v>159090.09</v>
      </c>
      <c r="E499" s="4">
        <v>53030.03</v>
      </c>
      <c r="F499" s="4">
        <v>83740.842000000004</v>
      </c>
    </row>
    <row r="500" spans="1:6" x14ac:dyDescent="0.2">
      <c r="A500" s="3" t="s">
        <v>13</v>
      </c>
      <c r="B500" s="3" t="s">
        <v>17</v>
      </c>
      <c r="C500" s="3">
        <v>42266.01</v>
      </c>
      <c r="D500" s="4">
        <v>126798.03</v>
      </c>
      <c r="E500" s="4">
        <v>42266.01</v>
      </c>
      <c r="F500" s="4">
        <v>83740.842000000004</v>
      </c>
    </row>
    <row r="501" spans="1:6" x14ac:dyDescent="0.2">
      <c r="A501" s="3" t="s">
        <v>7</v>
      </c>
      <c r="B501" s="3" t="s">
        <v>21</v>
      </c>
      <c r="C501" s="3">
        <v>62498.63</v>
      </c>
      <c r="D501" s="4">
        <v>187495.89</v>
      </c>
      <c r="E501" s="4">
        <v>62498.63</v>
      </c>
      <c r="F501" s="4">
        <v>100474.88400000001</v>
      </c>
    </row>
    <row r="502" spans="1:6" x14ac:dyDescent="0.2">
      <c r="A502" s="3" t="s">
        <v>9</v>
      </c>
      <c r="B502" s="3" t="s">
        <v>21</v>
      </c>
      <c r="C502" s="3">
        <v>52282.46</v>
      </c>
      <c r="D502" s="4">
        <v>156847.38</v>
      </c>
      <c r="E502" s="4">
        <v>52282.46</v>
      </c>
      <c r="F502" s="4">
        <v>100474.88400000001</v>
      </c>
    </row>
    <row r="503" spans="1:6" x14ac:dyDescent="0.2">
      <c r="A503" s="3" t="s">
        <v>10</v>
      </c>
      <c r="B503" s="3" t="s">
        <v>21</v>
      </c>
      <c r="C503" s="3">
        <v>50944.7</v>
      </c>
      <c r="D503" s="4">
        <v>152834.1</v>
      </c>
      <c r="E503" s="4">
        <v>50944.7</v>
      </c>
      <c r="F503" s="4">
        <v>100474.88400000001</v>
      </c>
    </row>
    <row r="504" spans="1:6" x14ac:dyDescent="0.2">
      <c r="A504" s="3" t="s">
        <v>11</v>
      </c>
      <c r="B504" s="3" t="s">
        <v>21</v>
      </c>
      <c r="C504" s="3">
        <v>62905.79</v>
      </c>
      <c r="D504" s="4">
        <v>188717.37</v>
      </c>
      <c r="E504" s="4">
        <v>62905.79</v>
      </c>
      <c r="F504" s="4">
        <v>100474.88400000001</v>
      </c>
    </row>
    <row r="505" spans="1:6" x14ac:dyDescent="0.2">
      <c r="A505" s="3" t="s">
        <v>12</v>
      </c>
      <c r="B505" s="3" t="s">
        <v>21</v>
      </c>
      <c r="C505" s="3">
        <v>70866.59</v>
      </c>
      <c r="D505" s="4">
        <v>212599.77</v>
      </c>
      <c r="E505" s="4">
        <v>70866.59</v>
      </c>
      <c r="F505" s="4">
        <v>100474.88400000001</v>
      </c>
    </row>
    <row r="506" spans="1:6" x14ac:dyDescent="0.2">
      <c r="A506" s="3" t="s">
        <v>13</v>
      </c>
      <c r="B506" s="3" t="s">
        <v>21</v>
      </c>
      <c r="C506" s="3">
        <v>72017.77</v>
      </c>
      <c r="D506" s="4">
        <v>216053.31</v>
      </c>
      <c r="E506" s="4">
        <v>72017.77</v>
      </c>
      <c r="F506" s="4">
        <v>100474.88400000001</v>
      </c>
    </row>
    <row r="507" spans="1:6" x14ac:dyDescent="0.2">
      <c r="A507" s="3" t="s">
        <v>7</v>
      </c>
      <c r="B507" s="3" t="s">
        <v>17</v>
      </c>
      <c r="C507" s="3">
        <v>49917.99</v>
      </c>
      <c r="D507" s="4">
        <v>149753.97</v>
      </c>
      <c r="E507" s="4">
        <v>49917.99</v>
      </c>
      <c r="F507" s="4">
        <v>83740.842000000004</v>
      </c>
    </row>
    <row r="508" spans="1:6" x14ac:dyDescent="0.2">
      <c r="A508" s="3" t="s">
        <v>9</v>
      </c>
      <c r="B508" s="3" t="s">
        <v>17</v>
      </c>
      <c r="C508" s="3">
        <v>46366.1</v>
      </c>
      <c r="D508" s="4">
        <v>139098.29999999999</v>
      </c>
      <c r="E508" s="4">
        <v>46366.1</v>
      </c>
      <c r="F508" s="4">
        <v>83740.842000000004</v>
      </c>
    </row>
    <row r="509" spans="1:6" x14ac:dyDescent="0.2">
      <c r="A509" s="3" t="s">
        <v>10</v>
      </c>
      <c r="B509" s="3" t="s">
        <v>17</v>
      </c>
      <c r="C509" s="3">
        <v>42672.6</v>
      </c>
      <c r="D509" s="4">
        <v>128017.8</v>
      </c>
      <c r="E509" s="4">
        <v>42672.6</v>
      </c>
      <c r="F509" s="4">
        <v>83740.842000000004</v>
      </c>
    </row>
    <row r="510" spans="1:6" x14ac:dyDescent="0.2">
      <c r="A510" s="3" t="s">
        <v>11</v>
      </c>
      <c r="B510" s="3" t="s">
        <v>17</v>
      </c>
      <c r="C510" s="3">
        <v>46360.76</v>
      </c>
      <c r="D510" s="4">
        <v>139082.28</v>
      </c>
      <c r="E510" s="4">
        <v>46360.76</v>
      </c>
      <c r="F510" s="4">
        <v>83740.842000000004</v>
      </c>
    </row>
    <row r="511" spans="1:6" x14ac:dyDescent="0.2">
      <c r="A511" s="3" t="s">
        <v>12</v>
      </c>
      <c r="B511" s="3" t="s">
        <v>17</v>
      </c>
      <c r="C511" s="3">
        <v>54855.72</v>
      </c>
      <c r="D511" s="4">
        <v>164567.16</v>
      </c>
      <c r="E511" s="4">
        <v>54855.72</v>
      </c>
      <c r="F511" s="4">
        <v>83740.842000000004</v>
      </c>
    </row>
    <row r="512" spans="1:6" x14ac:dyDescent="0.2">
      <c r="A512" s="3" t="s">
        <v>13</v>
      </c>
      <c r="B512" s="3" t="s">
        <v>17</v>
      </c>
      <c r="C512" s="3">
        <v>51494.98</v>
      </c>
      <c r="D512" s="4">
        <v>154484.94</v>
      </c>
      <c r="E512" s="4">
        <v>51494.98</v>
      </c>
      <c r="F512" s="4">
        <v>83740.842000000004</v>
      </c>
    </row>
    <row r="513" spans="1:6" x14ac:dyDescent="0.2">
      <c r="A513" s="3" t="s">
        <v>7</v>
      </c>
      <c r="B513" s="3" t="s">
        <v>21</v>
      </c>
      <c r="C513" s="3">
        <v>46060.12</v>
      </c>
      <c r="D513" s="4">
        <v>138180.35999999999</v>
      </c>
      <c r="E513" s="4">
        <v>46060.12</v>
      </c>
      <c r="F513" s="4">
        <v>100474.88400000001</v>
      </c>
    </row>
    <row r="514" spans="1:6" x14ac:dyDescent="0.2">
      <c r="A514" s="3" t="s">
        <v>9</v>
      </c>
      <c r="B514" s="3" t="s">
        <v>21</v>
      </c>
      <c r="C514" s="3">
        <v>33212.93</v>
      </c>
      <c r="D514" s="4">
        <v>99638.790000000008</v>
      </c>
      <c r="E514" s="4">
        <v>33212.93</v>
      </c>
      <c r="F514" s="4">
        <v>100474.88400000001</v>
      </c>
    </row>
    <row r="515" spans="1:6" x14ac:dyDescent="0.2">
      <c r="A515" s="3" t="s">
        <v>10</v>
      </c>
      <c r="B515" s="3" t="s">
        <v>21</v>
      </c>
      <c r="C515" s="3">
        <v>46691.45</v>
      </c>
      <c r="D515" s="4">
        <v>140074.35</v>
      </c>
      <c r="E515" s="4">
        <v>46691.45</v>
      </c>
      <c r="F515" s="4">
        <v>100474.88400000001</v>
      </c>
    </row>
    <row r="516" spans="1:6" x14ac:dyDescent="0.2">
      <c r="A516" s="3" t="s">
        <v>11</v>
      </c>
      <c r="B516" s="3" t="s">
        <v>21</v>
      </c>
      <c r="C516" s="3">
        <v>47557.88</v>
      </c>
      <c r="D516" s="4">
        <v>142673.64000000001</v>
      </c>
      <c r="E516" s="4">
        <v>47557.88</v>
      </c>
      <c r="F516" s="4">
        <v>100474.88400000001</v>
      </c>
    </row>
    <row r="517" spans="1:6" x14ac:dyDescent="0.2">
      <c r="A517" s="3" t="s">
        <v>12</v>
      </c>
      <c r="B517" s="3" t="s">
        <v>21</v>
      </c>
      <c r="C517" s="3">
        <v>46976.13</v>
      </c>
      <c r="D517" s="4">
        <v>140928.39000000001</v>
      </c>
      <c r="E517" s="4">
        <v>46976.13</v>
      </c>
      <c r="F517" s="4">
        <v>100474.88400000001</v>
      </c>
    </row>
    <row r="518" spans="1:6" x14ac:dyDescent="0.2">
      <c r="A518" s="3" t="s">
        <v>13</v>
      </c>
      <c r="B518" s="3" t="s">
        <v>21</v>
      </c>
      <c r="C518" s="3">
        <v>50748.09</v>
      </c>
      <c r="D518" s="4">
        <v>152244.26999999999</v>
      </c>
      <c r="E518" s="4">
        <v>50748.09</v>
      </c>
      <c r="F518" s="4">
        <v>100474.88400000001</v>
      </c>
    </row>
    <row r="519" spans="1:6" x14ac:dyDescent="0.2">
      <c r="A519" s="3" t="s">
        <v>7</v>
      </c>
      <c r="B519" s="3" t="s">
        <v>17</v>
      </c>
      <c r="C519" s="3">
        <v>47955.67</v>
      </c>
      <c r="D519" s="4">
        <v>143867.01</v>
      </c>
      <c r="E519" s="4">
        <v>47955.67</v>
      </c>
      <c r="F519" s="4">
        <v>83740.842000000004</v>
      </c>
    </row>
    <row r="520" spans="1:6" x14ac:dyDescent="0.2">
      <c r="A520" s="3" t="s">
        <v>9</v>
      </c>
      <c r="B520" s="3" t="s">
        <v>17</v>
      </c>
      <c r="C520" s="3">
        <v>48223.46</v>
      </c>
      <c r="D520" s="4">
        <v>144670.38</v>
      </c>
      <c r="E520" s="4">
        <v>48223.46</v>
      </c>
      <c r="F520" s="4">
        <v>83740.842000000004</v>
      </c>
    </row>
    <row r="521" spans="1:6" x14ac:dyDescent="0.2">
      <c r="A521" s="3" t="s">
        <v>10</v>
      </c>
      <c r="B521" s="3" t="s">
        <v>17</v>
      </c>
      <c r="C521" s="3">
        <v>57950.28</v>
      </c>
      <c r="D521" s="4">
        <v>173850.84</v>
      </c>
      <c r="E521" s="4">
        <v>57950.28</v>
      </c>
      <c r="F521" s="4">
        <v>83740.842000000004</v>
      </c>
    </row>
    <row r="522" spans="1:6" x14ac:dyDescent="0.2">
      <c r="A522" s="3" t="s">
        <v>11</v>
      </c>
      <c r="B522" s="3" t="s">
        <v>17</v>
      </c>
      <c r="C522" s="3">
        <v>45975.47</v>
      </c>
      <c r="D522" s="4">
        <v>137926.41</v>
      </c>
      <c r="E522" s="4">
        <v>45975.47</v>
      </c>
      <c r="F522" s="4">
        <v>83740.842000000004</v>
      </c>
    </row>
    <row r="523" spans="1:6" x14ac:dyDescent="0.2">
      <c r="A523" s="3" t="s">
        <v>12</v>
      </c>
      <c r="B523" s="3" t="s">
        <v>17</v>
      </c>
      <c r="C523" s="3">
        <v>68511.839999999997</v>
      </c>
      <c r="D523" s="4">
        <v>205535.52</v>
      </c>
      <c r="E523" s="4">
        <v>68511.839999999997</v>
      </c>
      <c r="F523" s="4">
        <v>83740.842000000004</v>
      </c>
    </row>
    <row r="524" spans="1:6" x14ac:dyDescent="0.2">
      <c r="A524" s="3" t="s">
        <v>13</v>
      </c>
      <c r="B524" s="3" t="s">
        <v>17</v>
      </c>
      <c r="C524" s="3">
        <v>67832.66</v>
      </c>
      <c r="D524" s="4">
        <v>203497.98</v>
      </c>
      <c r="E524" s="4">
        <v>67832.66</v>
      </c>
      <c r="F524" s="4">
        <v>83740.842000000004</v>
      </c>
    </row>
    <row r="525" spans="1:6" x14ac:dyDescent="0.2">
      <c r="A525" s="3" t="s">
        <v>7</v>
      </c>
      <c r="B525" s="3" t="s">
        <v>16</v>
      </c>
      <c r="C525" s="3">
        <v>44670.91</v>
      </c>
      <c r="D525" s="4">
        <v>134012.73000000001</v>
      </c>
      <c r="E525" s="4">
        <v>44670.91</v>
      </c>
      <c r="F525" s="4">
        <v>94304.313000000009</v>
      </c>
    </row>
    <row r="526" spans="1:6" x14ac:dyDescent="0.2">
      <c r="A526" s="3" t="s">
        <v>9</v>
      </c>
      <c r="B526" s="3" t="s">
        <v>16</v>
      </c>
      <c r="C526" s="3">
        <v>46123.43</v>
      </c>
      <c r="D526" s="4">
        <v>138370.29</v>
      </c>
      <c r="E526" s="4">
        <v>46123.43</v>
      </c>
      <c r="F526" s="4">
        <v>94304.313000000009</v>
      </c>
    </row>
    <row r="527" spans="1:6" x14ac:dyDescent="0.2">
      <c r="A527" s="3" t="s">
        <v>10</v>
      </c>
      <c r="B527" s="3" t="s">
        <v>16</v>
      </c>
      <c r="C527" s="3">
        <v>40224.81</v>
      </c>
      <c r="D527" s="4">
        <v>120674.43</v>
      </c>
      <c r="E527" s="4">
        <v>40224.81</v>
      </c>
      <c r="F527" s="4">
        <v>94304.313000000009</v>
      </c>
    </row>
    <row r="528" spans="1:6" x14ac:dyDescent="0.2">
      <c r="A528" s="3" t="s">
        <v>11</v>
      </c>
      <c r="B528" s="3" t="s">
        <v>16</v>
      </c>
      <c r="C528" s="3">
        <v>51647.29</v>
      </c>
      <c r="D528" s="4">
        <v>154941.87</v>
      </c>
      <c r="E528" s="4">
        <v>51647.29</v>
      </c>
      <c r="F528" s="4">
        <v>94304.313000000009</v>
      </c>
    </row>
    <row r="529" spans="1:6" x14ac:dyDescent="0.2">
      <c r="A529" s="3" t="s">
        <v>12</v>
      </c>
      <c r="B529" s="3" t="s">
        <v>16</v>
      </c>
      <c r="C529" s="3">
        <v>39450.559999999998</v>
      </c>
      <c r="D529" s="4">
        <v>118351.67999999999</v>
      </c>
      <c r="E529" s="4">
        <v>39450.559999999998</v>
      </c>
      <c r="F529" s="4">
        <v>94304.313000000009</v>
      </c>
    </row>
    <row r="530" spans="1:6" x14ac:dyDescent="0.2">
      <c r="A530" s="3" t="s">
        <v>13</v>
      </c>
      <c r="B530" s="3" t="s">
        <v>16</v>
      </c>
      <c r="C530" s="3">
        <v>47099.06</v>
      </c>
      <c r="D530" s="4">
        <v>141297.18</v>
      </c>
      <c r="E530" s="4">
        <v>47099.06</v>
      </c>
      <c r="F530" s="4">
        <v>94304.313000000009</v>
      </c>
    </row>
    <row r="531" spans="1:6" x14ac:dyDescent="0.2">
      <c r="A531" s="3" t="s">
        <v>7</v>
      </c>
      <c r="B531" s="3" t="s">
        <v>8</v>
      </c>
      <c r="C531" s="3">
        <v>54687.68</v>
      </c>
      <c r="D531" s="4">
        <v>164063.04000000001</v>
      </c>
      <c r="E531" s="4">
        <v>54687.68</v>
      </c>
      <c r="F531" s="4">
        <v>91734.462</v>
      </c>
    </row>
    <row r="532" spans="1:6" x14ac:dyDescent="0.2">
      <c r="A532" s="3" t="s">
        <v>9</v>
      </c>
      <c r="B532" s="3" t="s">
        <v>8</v>
      </c>
      <c r="C532" s="3">
        <v>84326.87</v>
      </c>
      <c r="D532" s="4">
        <v>252980.61</v>
      </c>
      <c r="E532" s="4">
        <v>84326.87</v>
      </c>
      <c r="F532" s="4">
        <v>91734.462</v>
      </c>
    </row>
    <row r="533" spans="1:6" x14ac:dyDescent="0.2">
      <c r="A533" s="3" t="s">
        <v>10</v>
      </c>
      <c r="B533" s="3" t="s">
        <v>8</v>
      </c>
      <c r="C533" s="3">
        <v>70078.23</v>
      </c>
      <c r="D533" s="4">
        <v>210234.69</v>
      </c>
      <c r="E533" s="4">
        <v>70078.23</v>
      </c>
      <c r="F533" s="4">
        <v>91734.462</v>
      </c>
    </row>
    <row r="534" spans="1:6" x14ac:dyDescent="0.2">
      <c r="A534" s="3" t="s">
        <v>11</v>
      </c>
      <c r="B534" s="3" t="s">
        <v>8</v>
      </c>
      <c r="C534" s="3">
        <v>65116.06</v>
      </c>
      <c r="D534" s="4">
        <v>195348.18</v>
      </c>
      <c r="E534" s="4">
        <v>65116.06</v>
      </c>
      <c r="F534" s="4">
        <v>91734.462</v>
      </c>
    </row>
    <row r="535" spans="1:6" x14ac:dyDescent="0.2">
      <c r="A535" s="3" t="s">
        <v>12</v>
      </c>
      <c r="B535" s="3" t="s">
        <v>8</v>
      </c>
      <c r="C535" s="3">
        <v>68418.41</v>
      </c>
      <c r="D535" s="4">
        <v>205255.23</v>
      </c>
      <c r="E535" s="4">
        <v>68418.41</v>
      </c>
      <c r="F535" s="4">
        <v>91734.462</v>
      </c>
    </row>
    <row r="536" spans="1:6" x14ac:dyDescent="0.2">
      <c r="A536" s="3" t="s">
        <v>13</v>
      </c>
      <c r="B536" s="3" t="s">
        <v>8</v>
      </c>
      <c r="C536" s="3">
        <v>62709.88</v>
      </c>
      <c r="D536" s="4">
        <v>188129.64</v>
      </c>
      <c r="E536" s="4">
        <v>62709.88</v>
      </c>
      <c r="F536" s="4">
        <v>91734.462</v>
      </c>
    </row>
    <row r="537" spans="1:6" x14ac:dyDescent="0.2">
      <c r="A537" s="3" t="s">
        <v>7</v>
      </c>
      <c r="B537" s="3" t="s">
        <v>8</v>
      </c>
      <c r="C537" s="3">
        <v>17279.14</v>
      </c>
      <c r="D537" s="4">
        <v>51837.42</v>
      </c>
      <c r="E537" s="4">
        <v>17279.14</v>
      </c>
      <c r="F537" s="4">
        <v>91734.462</v>
      </c>
    </row>
    <row r="538" spans="1:6" x14ac:dyDescent="0.2">
      <c r="A538" s="3" t="s">
        <v>9</v>
      </c>
      <c r="B538" s="3" t="s">
        <v>8</v>
      </c>
      <c r="C538" s="3">
        <v>20277.61</v>
      </c>
      <c r="D538" s="4">
        <v>60832.83</v>
      </c>
      <c r="E538" s="4">
        <v>20277.61</v>
      </c>
      <c r="F538" s="4">
        <v>91734.462</v>
      </c>
    </row>
    <row r="539" spans="1:6" x14ac:dyDescent="0.2">
      <c r="A539" s="3" t="s">
        <v>10</v>
      </c>
      <c r="B539" s="3" t="s">
        <v>8</v>
      </c>
      <c r="C539" s="3">
        <v>23757.88</v>
      </c>
      <c r="D539" s="4">
        <v>71273.64</v>
      </c>
      <c r="E539" s="4">
        <v>23757.88</v>
      </c>
      <c r="F539" s="4">
        <v>91734.462</v>
      </c>
    </row>
    <row r="540" spans="1:6" x14ac:dyDescent="0.2">
      <c r="A540" s="3" t="s">
        <v>11</v>
      </c>
      <c r="B540" s="3" t="s">
        <v>8</v>
      </c>
      <c r="C540" s="3">
        <v>20250.32</v>
      </c>
      <c r="D540" s="4">
        <v>60750.96</v>
      </c>
      <c r="E540" s="4">
        <v>20250.32</v>
      </c>
      <c r="F540" s="4">
        <v>91734.462</v>
      </c>
    </row>
    <row r="541" spans="1:6" x14ac:dyDescent="0.2">
      <c r="A541" s="3" t="s">
        <v>12</v>
      </c>
      <c r="B541" s="3" t="s">
        <v>8</v>
      </c>
      <c r="C541" s="3">
        <v>22777.21</v>
      </c>
      <c r="D541" s="4">
        <v>68331.63</v>
      </c>
      <c r="E541" s="4">
        <v>22777.21</v>
      </c>
      <c r="F541" s="4">
        <v>91734.462</v>
      </c>
    </row>
    <row r="542" spans="1:6" x14ac:dyDescent="0.2">
      <c r="A542" s="3" t="s">
        <v>13</v>
      </c>
      <c r="B542" s="3" t="s">
        <v>8</v>
      </c>
      <c r="C542" s="3">
        <v>25252.51</v>
      </c>
      <c r="D542" s="4">
        <v>75757.53</v>
      </c>
      <c r="E542" s="4">
        <v>25252.51</v>
      </c>
      <c r="F542" s="4">
        <v>91734.462</v>
      </c>
    </row>
    <row r="543" spans="1:6" x14ac:dyDescent="0.2">
      <c r="A543" s="3" t="s">
        <v>7</v>
      </c>
      <c r="B543" s="3" t="s">
        <v>16</v>
      </c>
      <c r="C543" s="3">
        <v>46739.14</v>
      </c>
      <c r="D543" s="4">
        <v>140217.42000000001</v>
      </c>
      <c r="E543" s="4">
        <v>46739.14</v>
      </c>
      <c r="F543" s="4">
        <v>94304.313000000009</v>
      </c>
    </row>
    <row r="544" spans="1:6" x14ac:dyDescent="0.2">
      <c r="A544" s="3" t="s">
        <v>9</v>
      </c>
      <c r="B544" s="3" t="s">
        <v>16</v>
      </c>
      <c r="C544" s="3">
        <v>41754.230000000003</v>
      </c>
      <c r="D544" s="4">
        <v>125262.69</v>
      </c>
      <c r="E544" s="4">
        <v>41754.230000000003</v>
      </c>
      <c r="F544" s="4">
        <v>94304.313000000009</v>
      </c>
    </row>
    <row r="545" spans="1:6" x14ac:dyDescent="0.2">
      <c r="A545" s="3" t="s">
        <v>10</v>
      </c>
      <c r="B545" s="3" t="s">
        <v>16</v>
      </c>
      <c r="C545" s="3">
        <v>46496.92</v>
      </c>
      <c r="D545" s="4">
        <v>139490.76</v>
      </c>
      <c r="E545" s="4">
        <v>46496.92</v>
      </c>
      <c r="F545" s="4">
        <v>94304.313000000009</v>
      </c>
    </row>
    <row r="546" spans="1:6" x14ac:dyDescent="0.2">
      <c r="A546" s="3" t="s">
        <v>11</v>
      </c>
      <c r="B546" s="3" t="s">
        <v>16</v>
      </c>
      <c r="C546" s="3">
        <v>65955.509999999995</v>
      </c>
      <c r="D546" s="4">
        <v>197866.53</v>
      </c>
      <c r="E546" s="4">
        <v>65955.509999999995</v>
      </c>
      <c r="F546" s="4">
        <v>94304.313000000009</v>
      </c>
    </row>
    <row r="547" spans="1:6" x14ac:dyDescent="0.2">
      <c r="A547" s="3" t="s">
        <v>12</v>
      </c>
      <c r="B547" s="3" t="s">
        <v>16</v>
      </c>
      <c r="C547" s="3">
        <v>54503.39</v>
      </c>
      <c r="D547" s="4">
        <v>163510.17000000001</v>
      </c>
      <c r="E547" s="4">
        <v>54503.39</v>
      </c>
      <c r="F547" s="4">
        <v>94304.313000000009</v>
      </c>
    </row>
    <row r="548" spans="1:6" x14ac:dyDescent="0.2">
      <c r="A548" s="3" t="s">
        <v>13</v>
      </c>
      <c r="B548" s="3" t="s">
        <v>16</v>
      </c>
      <c r="C548" s="3">
        <v>67913.94</v>
      </c>
      <c r="D548" s="4">
        <v>203741.82</v>
      </c>
      <c r="E548" s="4">
        <v>67913.94</v>
      </c>
      <c r="F548" s="4">
        <v>94304.313000000009</v>
      </c>
    </row>
    <row r="549" spans="1:6" x14ac:dyDescent="0.2">
      <c r="A549" s="3" t="s">
        <v>7</v>
      </c>
      <c r="B549" s="3" t="s">
        <v>17</v>
      </c>
      <c r="C549" s="3">
        <v>59306.33</v>
      </c>
      <c r="D549" s="4">
        <v>177918.99</v>
      </c>
      <c r="E549" s="4">
        <v>59306.33</v>
      </c>
      <c r="F549" s="4">
        <v>83740.842000000004</v>
      </c>
    </row>
    <row r="550" spans="1:6" x14ac:dyDescent="0.2">
      <c r="A550" s="3" t="s">
        <v>9</v>
      </c>
      <c r="B550" s="3" t="s">
        <v>17</v>
      </c>
      <c r="C550" s="3">
        <v>56414.95</v>
      </c>
      <c r="D550" s="4">
        <v>169244.85</v>
      </c>
      <c r="E550" s="4">
        <v>56414.95</v>
      </c>
      <c r="F550" s="4">
        <v>83740.842000000004</v>
      </c>
    </row>
    <row r="551" spans="1:6" x14ac:dyDescent="0.2">
      <c r="A551" s="3" t="s">
        <v>10</v>
      </c>
      <c r="B551" s="3" t="s">
        <v>17</v>
      </c>
      <c r="C551" s="3">
        <v>69902.2</v>
      </c>
      <c r="D551" s="4">
        <v>209706.6</v>
      </c>
      <c r="E551" s="4">
        <v>69902.2</v>
      </c>
      <c r="F551" s="4">
        <v>83740.842000000004</v>
      </c>
    </row>
    <row r="552" spans="1:6" x14ac:dyDescent="0.2">
      <c r="A552" s="3" t="s">
        <v>11</v>
      </c>
      <c r="B552" s="3" t="s">
        <v>17</v>
      </c>
      <c r="C552" s="3">
        <v>74859.33</v>
      </c>
      <c r="D552" s="4">
        <v>224577.99</v>
      </c>
      <c r="E552" s="4">
        <v>74859.33</v>
      </c>
      <c r="F552" s="4">
        <v>83740.842000000004</v>
      </c>
    </row>
    <row r="553" spans="1:6" x14ac:dyDescent="0.2">
      <c r="A553" s="3" t="s">
        <v>12</v>
      </c>
      <c r="B553" s="3" t="s">
        <v>17</v>
      </c>
      <c r="C553" s="3">
        <v>61182.09</v>
      </c>
      <c r="D553" s="4">
        <v>183546.27</v>
      </c>
      <c r="E553" s="4">
        <v>61182.09</v>
      </c>
      <c r="F553" s="4">
        <v>83740.842000000004</v>
      </c>
    </row>
    <row r="554" spans="1:6" x14ac:dyDescent="0.2">
      <c r="A554" s="3" t="s">
        <v>13</v>
      </c>
      <c r="B554" s="3" t="s">
        <v>17</v>
      </c>
      <c r="C554" s="3">
        <v>63086.04</v>
      </c>
      <c r="D554" s="4">
        <v>189258.12</v>
      </c>
      <c r="E554" s="4">
        <v>63086.04</v>
      </c>
      <c r="F554" s="4">
        <v>83740.842000000004</v>
      </c>
    </row>
    <row r="555" spans="1:6" x14ac:dyDescent="0.2">
      <c r="A555" s="3" t="s">
        <v>7</v>
      </c>
      <c r="B555" s="3" t="s">
        <v>19</v>
      </c>
      <c r="C555" s="3">
        <v>48661.599999999999</v>
      </c>
      <c r="D555" s="4">
        <v>145984.79999999999</v>
      </c>
      <c r="E555" s="4">
        <v>48661.599999999999</v>
      </c>
      <c r="F555" s="4">
        <v>101747.052</v>
      </c>
    </row>
    <row r="556" spans="1:6" x14ac:dyDescent="0.2">
      <c r="A556" s="3" t="s">
        <v>9</v>
      </c>
      <c r="B556" s="3" t="s">
        <v>19</v>
      </c>
      <c r="C556" s="3">
        <v>34400.050000000003</v>
      </c>
      <c r="D556" s="4">
        <v>103200.15</v>
      </c>
      <c r="E556" s="4">
        <v>34400.050000000003</v>
      </c>
      <c r="F556" s="4">
        <v>101747.052</v>
      </c>
    </row>
    <row r="557" spans="1:6" x14ac:dyDescent="0.2">
      <c r="A557" s="3" t="s">
        <v>10</v>
      </c>
      <c r="B557" s="3" t="s">
        <v>19</v>
      </c>
      <c r="C557" s="3">
        <v>49910.35</v>
      </c>
      <c r="D557" s="4">
        <v>149731.04999999999</v>
      </c>
      <c r="E557" s="4">
        <v>49910.35</v>
      </c>
      <c r="F557" s="4">
        <v>101747.052</v>
      </c>
    </row>
    <row r="558" spans="1:6" x14ac:dyDescent="0.2">
      <c r="A558" s="3" t="s">
        <v>11</v>
      </c>
      <c r="B558" s="3" t="s">
        <v>19</v>
      </c>
      <c r="C558" s="3">
        <v>44741.75</v>
      </c>
      <c r="D558" s="4">
        <v>134225.25</v>
      </c>
      <c r="E558" s="4">
        <v>44741.75</v>
      </c>
      <c r="F558" s="4">
        <v>101747.052</v>
      </c>
    </row>
    <row r="559" spans="1:6" x14ac:dyDescent="0.2">
      <c r="A559" s="3" t="s">
        <v>12</v>
      </c>
      <c r="B559" s="3" t="s">
        <v>19</v>
      </c>
      <c r="C559" s="3">
        <v>48731.42</v>
      </c>
      <c r="D559" s="4">
        <v>146194.26</v>
      </c>
      <c r="E559" s="4">
        <v>48731.42</v>
      </c>
      <c r="F559" s="4">
        <v>101747.052</v>
      </c>
    </row>
    <row r="560" spans="1:6" x14ac:dyDescent="0.2">
      <c r="A560" s="3" t="s">
        <v>13</v>
      </c>
      <c r="B560" s="3" t="s">
        <v>19</v>
      </c>
      <c r="C560" s="3">
        <v>51193.37</v>
      </c>
      <c r="D560" s="4">
        <v>153580.10999999999</v>
      </c>
      <c r="E560" s="4">
        <v>51193.37</v>
      </c>
      <c r="F560" s="4">
        <v>101747.052</v>
      </c>
    </row>
    <row r="561" spans="1:6" x14ac:dyDescent="0.2">
      <c r="A561" s="3" t="s">
        <v>7</v>
      </c>
      <c r="B561" s="3" t="s">
        <v>21</v>
      </c>
      <c r="C561" s="3">
        <v>45404.57</v>
      </c>
      <c r="D561" s="4">
        <v>136213.71</v>
      </c>
      <c r="E561" s="4">
        <v>45404.57</v>
      </c>
      <c r="F561" s="4">
        <v>100474.88400000001</v>
      </c>
    </row>
    <row r="562" spans="1:6" x14ac:dyDescent="0.2">
      <c r="A562" s="3" t="s">
        <v>9</v>
      </c>
      <c r="B562" s="3" t="s">
        <v>21</v>
      </c>
      <c r="C562" s="3">
        <v>57260.43</v>
      </c>
      <c r="D562" s="4">
        <v>171781.29</v>
      </c>
      <c r="E562" s="4">
        <v>57260.43</v>
      </c>
      <c r="F562" s="4">
        <v>100474.88400000001</v>
      </c>
    </row>
    <row r="563" spans="1:6" x14ac:dyDescent="0.2">
      <c r="A563" s="3" t="s">
        <v>10</v>
      </c>
      <c r="B563" s="3" t="s">
        <v>21</v>
      </c>
      <c r="C563" s="3">
        <v>41253.11</v>
      </c>
      <c r="D563" s="4">
        <v>123759.33</v>
      </c>
      <c r="E563" s="4">
        <v>41253.11</v>
      </c>
      <c r="F563" s="4">
        <v>100474.88400000001</v>
      </c>
    </row>
    <row r="564" spans="1:6" x14ac:dyDescent="0.2">
      <c r="A564" s="3" t="s">
        <v>11</v>
      </c>
      <c r="B564" s="3" t="s">
        <v>21</v>
      </c>
      <c r="C564" s="3">
        <v>62252.71</v>
      </c>
      <c r="D564" s="4">
        <v>186758.13</v>
      </c>
      <c r="E564" s="4">
        <v>62252.71</v>
      </c>
      <c r="F564" s="4">
        <v>100474.88400000001</v>
      </c>
    </row>
    <row r="565" spans="1:6" x14ac:dyDescent="0.2">
      <c r="A565" s="3" t="s">
        <v>12</v>
      </c>
      <c r="B565" s="3" t="s">
        <v>21</v>
      </c>
      <c r="C565" s="3">
        <v>54577.38</v>
      </c>
      <c r="D565" s="4">
        <v>163732.14000000001</v>
      </c>
      <c r="E565" s="4">
        <v>54577.38</v>
      </c>
      <c r="F565" s="4">
        <v>100474.88400000001</v>
      </c>
    </row>
    <row r="566" spans="1:6" x14ac:dyDescent="0.2">
      <c r="A566" s="3" t="s">
        <v>13</v>
      </c>
      <c r="B566" s="3" t="s">
        <v>21</v>
      </c>
      <c r="C566" s="3">
        <v>60087.67</v>
      </c>
      <c r="D566" s="4">
        <v>180263.01</v>
      </c>
      <c r="E566" s="4">
        <v>60087.67</v>
      </c>
      <c r="F566" s="4">
        <v>100474.88400000001</v>
      </c>
    </row>
    <row r="567" spans="1:6" x14ac:dyDescent="0.2">
      <c r="A567" s="3" t="s">
        <v>7</v>
      </c>
      <c r="B567" s="3" t="s">
        <v>17</v>
      </c>
      <c r="C567" s="3">
        <v>38872.26</v>
      </c>
      <c r="D567" s="4">
        <v>116616.78</v>
      </c>
      <c r="E567" s="4">
        <v>38872.26</v>
      </c>
      <c r="F567" s="4">
        <v>83740.842000000004</v>
      </c>
    </row>
    <row r="568" spans="1:6" x14ac:dyDescent="0.2">
      <c r="A568" s="3" t="s">
        <v>9</v>
      </c>
      <c r="B568" s="3" t="s">
        <v>17</v>
      </c>
      <c r="C568" s="3">
        <v>38256.019999999997</v>
      </c>
      <c r="D568" s="4">
        <v>114768.06</v>
      </c>
      <c r="E568" s="4">
        <v>38256.019999999997</v>
      </c>
      <c r="F568" s="4">
        <v>83740.842000000004</v>
      </c>
    </row>
    <row r="569" spans="1:6" x14ac:dyDescent="0.2">
      <c r="A569" s="3" t="s">
        <v>10</v>
      </c>
      <c r="B569" s="3" t="s">
        <v>17</v>
      </c>
      <c r="C569" s="3">
        <v>35432.800000000003</v>
      </c>
      <c r="D569" s="4">
        <v>106298.4</v>
      </c>
      <c r="E569" s="4">
        <v>35432.800000000003</v>
      </c>
      <c r="F569" s="4">
        <v>83740.842000000004</v>
      </c>
    </row>
    <row r="570" spans="1:6" x14ac:dyDescent="0.2">
      <c r="A570" s="3" t="s">
        <v>11</v>
      </c>
      <c r="B570" s="3" t="s">
        <v>17</v>
      </c>
      <c r="C570" s="3">
        <v>34768.92</v>
      </c>
      <c r="D570" s="4">
        <v>104306.76</v>
      </c>
      <c r="E570" s="4">
        <v>34768.92</v>
      </c>
      <c r="F570" s="4">
        <v>83740.842000000004</v>
      </c>
    </row>
    <row r="571" spans="1:6" x14ac:dyDescent="0.2">
      <c r="A571" s="3" t="s">
        <v>12</v>
      </c>
      <c r="B571" s="3" t="s">
        <v>17</v>
      </c>
      <c r="C571" s="3">
        <v>36458.94</v>
      </c>
      <c r="D571" s="4">
        <v>109376.82</v>
      </c>
      <c r="E571" s="4">
        <v>36458.94</v>
      </c>
      <c r="F571" s="4">
        <v>83740.842000000004</v>
      </c>
    </row>
    <row r="572" spans="1:6" x14ac:dyDescent="0.2">
      <c r="A572" s="3" t="s">
        <v>13</v>
      </c>
      <c r="B572" s="3" t="s">
        <v>17</v>
      </c>
      <c r="C572" s="3">
        <v>44510.31</v>
      </c>
      <c r="D572" s="4">
        <v>133530.93</v>
      </c>
      <c r="E572" s="4">
        <v>44510.31</v>
      </c>
      <c r="F572" s="4">
        <v>83740.842000000004</v>
      </c>
    </row>
    <row r="573" spans="1:6" x14ac:dyDescent="0.2">
      <c r="A573" s="3" t="s">
        <v>7</v>
      </c>
      <c r="B573" s="3" t="s">
        <v>16</v>
      </c>
      <c r="C573" s="3">
        <v>50152.17</v>
      </c>
      <c r="D573" s="4">
        <v>150456.51</v>
      </c>
      <c r="E573" s="4">
        <v>50152.17</v>
      </c>
      <c r="F573" s="4">
        <v>94304.313000000009</v>
      </c>
    </row>
    <row r="574" spans="1:6" x14ac:dyDescent="0.2">
      <c r="A574" s="3" t="s">
        <v>9</v>
      </c>
      <c r="B574" s="3" t="s">
        <v>16</v>
      </c>
      <c r="C574" s="3">
        <v>67639.56</v>
      </c>
      <c r="D574" s="4">
        <v>202918.68</v>
      </c>
      <c r="E574" s="4">
        <v>67639.56</v>
      </c>
      <c r="F574" s="4">
        <v>94304.313000000009</v>
      </c>
    </row>
    <row r="575" spans="1:6" x14ac:dyDescent="0.2">
      <c r="A575" s="3" t="s">
        <v>10</v>
      </c>
      <c r="B575" s="3" t="s">
        <v>16</v>
      </c>
      <c r="C575" s="3">
        <v>49023.35</v>
      </c>
      <c r="D575" s="4">
        <v>147070.04999999999</v>
      </c>
      <c r="E575" s="4">
        <v>49023.35</v>
      </c>
      <c r="F575" s="4">
        <v>94304.313000000009</v>
      </c>
    </row>
    <row r="576" spans="1:6" x14ac:dyDescent="0.2">
      <c r="A576" s="3" t="s">
        <v>11</v>
      </c>
      <c r="B576" s="3" t="s">
        <v>16</v>
      </c>
      <c r="C576" s="3">
        <v>56424.04</v>
      </c>
      <c r="D576" s="4">
        <v>169272.12</v>
      </c>
      <c r="E576" s="4">
        <v>56424.04</v>
      </c>
      <c r="F576" s="4">
        <v>94304.313000000009</v>
      </c>
    </row>
    <row r="577" spans="1:6" x14ac:dyDescent="0.2">
      <c r="A577" s="3" t="s">
        <v>12</v>
      </c>
      <c r="B577" s="3" t="s">
        <v>16</v>
      </c>
      <c r="C577" s="3">
        <v>50749.57</v>
      </c>
      <c r="D577" s="4">
        <v>152248.71</v>
      </c>
      <c r="E577" s="4">
        <v>50749.57</v>
      </c>
      <c r="F577" s="4">
        <v>94304.313000000009</v>
      </c>
    </row>
    <row r="578" spans="1:6" x14ac:dyDescent="0.2">
      <c r="A578" s="3" t="s">
        <v>13</v>
      </c>
      <c r="B578" s="3" t="s">
        <v>16</v>
      </c>
      <c r="C578" s="3">
        <v>65456.32</v>
      </c>
      <c r="D578" s="4">
        <v>196368.96</v>
      </c>
      <c r="E578" s="4">
        <v>65456.32</v>
      </c>
      <c r="F578" s="4">
        <v>94304.313000000009</v>
      </c>
    </row>
    <row r="579" spans="1:6" x14ac:dyDescent="0.2">
      <c r="A579" s="3" t="s">
        <v>7</v>
      </c>
      <c r="B579" s="3" t="s">
        <v>16</v>
      </c>
      <c r="C579" s="3">
        <v>55915.59</v>
      </c>
      <c r="D579" s="4">
        <v>167746.76999999999</v>
      </c>
      <c r="E579" s="4">
        <v>55915.59</v>
      </c>
      <c r="F579" s="4">
        <v>94304.313000000009</v>
      </c>
    </row>
    <row r="580" spans="1:6" x14ac:dyDescent="0.2">
      <c r="A580" s="3" t="s">
        <v>9</v>
      </c>
      <c r="B580" s="3" t="s">
        <v>16</v>
      </c>
      <c r="C580" s="3">
        <v>59580.85</v>
      </c>
      <c r="D580" s="4">
        <v>178742.55</v>
      </c>
      <c r="E580" s="4">
        <v>59580.85</v>
      </c>
      <c r="F580" s="4">
        <v>94304.313000000009</v>
      </c>
    </row>
    <row r="581" spans="1:6" x14ac:dyDescent="0.2">
      <c r="A581" s="3" t="s">
        <v>10</v>
      </c>
      <c r="B581" s="3" t="s">
        <v>16</v>
      </c>
      <c r="C581" s="3">
        <v>53194.86</v>
      </c>
      <c r="D581" s="4">
        <v>159584.57999999999</v>
      </c>
      <c r="E581" s="4">
        <v>53194.86</v>
      </c>
      <c r="F581" s="4">
        <v>94304.313000000009</v>
      </c>
    </row>
    <row r="582" spans="1:6" x14ac:dyDescent="0.2">
      <c r="A582" s="3" t="s">
        <v>11</v>
      </c>
      <c r="B582" s="3" t="s">
        <v>16</v>
      </c>
      <c r="C582" s="3">
        <v>73760.429999999993</v>
      </c>
      <c r="D582" s="4">
        <v>221281.29</v>
      </c>
      <c r="E582" s="4">
        <v>73760.429999999993</v>
      </c>
      <c r="F582" s="4">
        <v>94304.313000000009</v>
      </c>
    </row>
    <row r="583" spans="1:6" x14ac:dyDescent="0.2">
      <c r="A583" s="3" t="s">
        <v>12</v>
      </c>
      <c r="B583" s="3" t="s">
        <v>16</v>
      </c>
      <c r="C583" s="3">
        <v>61875.91</v>
      </c>
      <c r="D583" s="4">
        <v>185627.73</v>
      </c>
      <c r="E583" s="4">
        <v>61875.91</v>
      </c>
      <c r="F583" s="4">
        <v>94304.313000000009</v>
      </c>
    </row>
    <row r="584" spans="1:6" x14ac:dyDescent="0.2">
      <c r="A584" s="3" t="s">
        <v>13</v>
      </c>
      <c r="B584" s="3" t="s">
        <v>16</v>
      </c>
      <c r="C584" s="3">
        <v>71374.62</v>
      </c>
      <c r="D584" s="4">
        <v>214123.86</v>
      </c>
      <c r="E584" s="4">
        <v>71374.62</v>
      </c>
      <c r="F584" s="4">
        <v>94304.313000000009</v>
      </c>
    </row>
    <row r="585" spans="1:6" x14ac:dyDescent="0.2">
      <c r="A585" s="3" t="s">
        <v>7</v>
      </c>
      <c r="B585" s="3" t="s">
        <v>20</v>
      </c>
      <c r="C585" s="3">
        <v>39188.230000000003</v>
      </c>
      <c r="D585" s="4">
        <v>117564.69</v>
      </c>
      <c r="E585" s="4">
        <v>39188.230000000003</v>
      </c>
      <c r="F585" s="4">
        <v>92182.01400000001</v>
      </c>
    </row>
    <row r="586" spans="1:6" x14ac:dyDescent="0.2">
      <c r="A586" s="3" t="s">
        <v>9</v>
      </c>
      <c r="B586" s="3" t="s">
        <v>20</v>
      </c>
      <c r="C586" s="3">
        <v>52255.55</v>
      </c>
      <c r="D586" s="4">
        <v>156766.65</v>
      </c>
      <c r="E586" s="4">
        <v>52255.55</v>
      </c>
      <c r="F586" s="4">
        <v>92182.01400000001</v>
      </c>
    </row>
    <row r="587" spans="1:6" x14ac:dyDescent="0.2">
      <c r="A587" s="3" t="s">
        <v>10</v>
      </c>
      <c r="B587" s="3" t="s">
        <v>20</v>
      </c>
      <c r="C587" s="3">
        <v>48146.39</v>
      </c>
      <c r="D587" s="4">
        <v>144439.17000000001</v>
      </c>
      <c r="E587" s="4">
        <v>48146.39</v>
      </c>
      <c r="F587" s="4">
        <v>92182.01400000001</v>
      </c>
    </row>
    <row r="588" spans="1:6" x14ac:dyDescent="0.2">
      <c r="A588" s="3" t="s">
        <v>11</v>
      </c>
      <c r="B588" s="3" t="s">
        <v>20</v>
      </c>
      <c r="C588" s="3">
        <v>57894.47</v>
      </c>
      <c r="D588" s="4">
        <v>173683.41</v>
      </c>
      <c r="E588" s="4">
        <v>57894.47</v>
      </c>
      <c r="F588" s="4">
        <v>92182.01400000001</v>
      </c>
    </row>
    <row r="589" spans="1:6" x14ac:dyDescent="0.2">
      <c r="A589" s="3" t="s">
        <v>12</v>
      </c>
      <c r="B589" s="3" t="s">
        <v>20</v>
      </c>
      <c r="C589" s="3">
        <v>58705.71</v>
      </c>
      <c r="D589" s="4">
        <v>176117.13</v>
      </c>
      <c r="E589" s="4">
        <v>58705.71</v>
      </c>
      <c r="F589" s="4">
        <v>92182.01400000001</v>
      </c>
    </row>
    <row r="590" spans="1:6" x14ac:dyDescent="0.2">
      <c r="A590" s="3" t="s">
        <v>13</v>
      </c>
      <c r="B590" s="3" t="s">
        <v>20</v>
      </c>
      <c r="C590" s="3">
        <v>52182.47</v>
      </c>
      <c r="D590" s="4">
        <v>156547.41</v>
      </c>
      <c r="E590" s="4">
        <v>52182.47</v>
      </c>
      <c r="F590" s="4">
        <v>92182.01400000001</v>
      </c>
    </row>
    <row r="591" spans="1:6" x14ac:dyDescent="0.2">
      <c r="A591" s="3" t="s">
        <v>7</v>
      </c>
      <c r="B591" s="3" t="s">
        <v>15</v>
      </c>
      <c r="C591" s="3">
        <v>67233.88</v>
      </c>
      <c r="D591" s="4">
        <v>201701.64</v>
      </c>
      <c r="E591" s="4">
        <v>67233.88</v>
      </c>
      <c r="F591" s="4">
        <v>95796.692999999999</v>
      </c>
    </row>
    <row r="592" spans="1:6" x14ac:dyDescent="0.2">
      <c r="A592" s="3" t="s">
        <v>9</v>
      </c>
      <c r="B592" s="3" t="s">
        <v>15</v>
      </c>
      <c r="C592" s="3">
        <v>55917.34</v>
      </c>
      <c r="D592" s="4">
        <v>167752.01999999999</v>
      </c>
      <c r="E592" s="4">
        <v>55917.34</v>
      </c>
      <c r="F592" s="4">
        <v>95796.692999999999</v>
      </c>
    </row>
    <row r="593" spans="1:6" x14ac:dyDescent="0.2">
      <c r="A593" s="3" t="s">
        <v>10</v>
      </c>
      <c r="B593" s="3" t="s">
        <v>15</v>
      </c>
      <c r="C593" s="3">
        <v>60740</v>
      </c>
      <c r="D593" s="4">
        <v>182220</v>
      </c>
      <c r="E593" s="4">
        <v>60740</v>
      </c>
      <c r="F593" s="4">
        <v>95796.692999999999</v>
      </c>
    </row>
    <row r="594" spans="1:6" x14ac:dyDescent="0.2">
      <c r="A594" s="3" t="s">
        <v>11</v>
      </c>
      <c r="B594" s="3" t="s">
        <v>15</v>
      </c>
      <c r="C594" s="3">
        <v>81047.12</v>
      </c>
      <c r="D594" s="4">
        <v>243141.36</v>
      </c>
      <c r="E594" s="4">
        <v>81047.12</v>
      </c>
      <c r="F594" s="4">
        <v>95796.692999999999</v>
      </c>
    </row>
    <row r="595" spans="1:6" x14ac:dyDescent="0.2">
      <c r="A595" s="3" t="s">
        <v>12</v>
      </c>
      <c r="B595" s="3" t="s">
        <v>15</v>
      </c>
      <c r="C595" s="3">
        <v>54992.67</v>
      </c>
      <c r="D595" s="4">
        <v>164978.01</v>
      </c>
      <c r="E595" s="4">
        <v>54992.67</v>
      </c>
      <c r="F595" s="4">
        <v>95796.692999999999</v>
      </c>
    </row>
    <row r="596" spans="1:6" x14ac:dyDescent="0.2">
      <c r="A596" s="3" t="s">
        <v>13</v>
      </c>
      <c r="B596" s="3" t="s">
        <v>15</v>
      </c>
      <c r="C596" s="3">
        <v>84729.59</v>
      </c>
      <c r="D596" s="4">
        <v>254188.77</v>
      </c>
      <c r="E596" s="4">
        <v>84729.59</v>
      </c>
      <c r="F596" s="4">
        <v>95796.692999999999</v>
      </c>
    </row>
    <row r="597" spans="1:6" x14ac:dyDescent="0.2">
      <c r="A597" s="3" t="s">
        <v>7</v>
      </c>
      <c r="B597" s="3" t="s">
        <v>8</v>
      </c>
      <c r="C597" s="3">
        <v>62538.37</v>
      </c>
      <c r="D597" s="4">
        <v>187615.11</v>
      </c>
      <c r="E597" s="4">
        <v>62538.37</v>
      </c>
      <c r="F597" s="4">
        <v>91734.462</v>
      </c>
    </row>
    <row r="598" spans="1:6" x14ac:dyDescent="0.2">
      <c r="A598" s="3" t="s">
        <v>9</v>
      </c>
      <c r="B598" s="3" t="s">
        <v>8</v>
      </c>
      <c r="C598" s="3">
        <v>59019.23</v>
      </c>
      <c r="D598" s="4">
        <v>177057.69</v>
      </c>
      <c r="E598" s="4">
        <v>59019.23</v>
      </c>
      <c r="F598" s="4">
        <v>91734.462</v>
      </c>
    </row>
    <row r="599" spans="1:6" x14ac:dyDescent="0.2">
      <c r="A599" s="3" t="s">
        <v>10</v>
      </c>
      <c r="B599" s="3" t="s">
        <v>8</v>
      </c>
      <c r="C599" s="3">
        <v>71589.09</v>
      </c>
      <c r="D599" s="4">
        <v>214767.27</v>
      </c>
      <c r="E599" s="4">
        <v>71589.09</v>
      </c>
      <c r="F599" s="4">
        <v>91734.462</v>
      </c>
    </row>
    <row r="600" spans="1:6" x14ac:dyDescent="0.2">
      <c r="A600" s="3" t="s">
        <v>11</v>
      </c>
      <c r="B600" s="3" t="s">
        <v>8</v>
      </c>
      <c r="C600" s="3">
        <v>52328.19</v>
      </c>
      <c r="D600" s="4">
        <v>156984.57</v>
      </c>
      <c r="E600" s="4">
        <v>52328.19</v>
      </c>
      <c r="F600" s="4">
        <v>91734.462</v>
      </c>
    </row>
    <row r="601" spans="1:6" x14ac:dyDescent="0.2">
      <c r="A601" s="3" t="s">
        <v>12</v>
      </c>
      <c r="B601" s="3" t="s">
        <v>8</v>
      </c>
      <c r="C601" s="3">
        <v>69356.88</v>
      </c>
      <c r="D601" s="4">
        <v>208070.64</v>
      </c>
      <c r="E601" s="4">
        <v>69356.88</v>
      </c>
      <c r="F601" s="4">
        <v>91734.462</v>
      </c>
    </row>
    <row r="602" spans="1:6" x14ac:dyDescent="0.2">
      <c r="A602" s="3" t="s">
        <v>13</v>
      </c>
      <c r="B602" s="3" t="s">
        <v>8</v>
      </c>
      <c r="C602" s="3">
        <v>65596.92</v>
      </c>
      <c r="D602" s="4">
        <v>196790.76</v>
      </c>
      <c r="E602" s="4">
        <v>65596.92</v>
      </c>
      <c r="F602" s="4">
        <v>91734.462</v>
      </c>
    </row>
    <row r="603" spans="1:6" x14ac:dyDescent="0.2">
      <c r="A603" s="3" t="s">
        <v>7</v>
      </c>
      <c r="B603" s="3" t="s">
        <v>21</v>
      </c>
      <c r="C603" s="3">
        <v>63492.22</v>
      </c>
      <c r="D603" s="4">
        <v>190476.66</v>
      </c>
      <c r="E603" s="4">
        <v>63492.22</v>
      </c>
      <c r="F603" s="4">
        <v>100474.88400000001</v>
      </c>
    </row>
    <row r="604" spans="1:6" x14ac:dyDescent="0.2">
      <c r="A604" s="3" t="s">
        <v>9</v>
      </c>
      <c r="B604" s="3" t="s">
        <v>21</v>
      </c>
      <c r="C604" s="3">
        <v>68038.09</v>
      </c>
      <c r="D604" s="4">
        <v>204114.27</v>
      </c>
      <c r="E604" s="4">
        <v>68038.09</v>
      </c>
      <c r="F604" s="4">
        <v>100474.88400000001</v>
      </c>
    </row>
    <row r="605" spans="1:6" x14ac:dyDescent="0.2">
      <c r="A605" s="3" t="s">
        <v>10</v>
      </c>
      <c r="B605" s="3" t="s">
        <v>21</v>
      </c>
      <c r="C605" s="3">
        <v>68671.710000000006</v>
      </c>
      <c r="D605" s="4">
        <v>206015.13</v>
      </c>
      <c r="E605" s="4">
        <v>68671.710000000006</v>
      </c>
      <c r="F605" s="4">
        <v>100474.88400000001</v>
      </c>
    </row>
    <row r="606" spans="1:6" x14ac:dyDescent="0.2">
      <c r="A606" s="3" t="s">
        <v>11</v>
      </c>
      <c r="B606" s="3" t="s">
        <v>21</v>
      </c>
      <c r="C606" s="3">
        <v>83646.05</v>
      </c>
      <c r="D606" s="4">
        <v>250938.15</v>
      </c>
      <c r="E606" s="4">
        <v>83646.05</v>
      </c>
      <c r="F606" s="4">
        <v>100474.88400000001</v>
      </c>
    </row>
    <row r="607" spans="1:6" x14ac:dyDescent="0.2">
      <c r="A607" s="3" t="s">
        <v>12</v>
      </c>
      <c r="B607" s="3" t="s">
        <v>21</v>
      </c>
      <c r="C607" s="3">
        <v>69194.5</v>
      </c>
      <c r="D607" s="4">
        <v>207583.5</v>
      </c>
      <c r="E607" s="4">
        <v>69194.5</v>
      </c>
      <c r="F607" s="4">
        <v>100474.88400000001</v>
      </c>
    </row>
    <row r="608" spans="1:6" x14ac:dyDescent="0.2">
      <c r="A608" s="3" t="s">
        <v>13</v>
      </c>
      <c r="B608" s="3" t="s">
        <v>21</v>
      </c>
      <c r="C608" s="3">
        <v>72979.100000000006</v>
      </c>
      <c r="D608" s="4">
        <v>218937.3</v>
      </c>
      <c r="E608" s="4">
        <v>72979.100000000006</v>
      </c>
      <c r="F608" s="4">
        <v>100474.88400000001</v>
      </c>
    </row>
    <row r="609" spans="1:6" x14ac:dyDescent="0.2">
      <c r="A609" s="3" t="s">
        <v>7</v>
      </c>
      <c r="B609" s="3" t="s">
        <v>17</v>
      </c>
      <c r="C609" s="3">
        <v>49788.21</v>
      </c>
      <c r="D609" s="4">
        <v>149364.63</v>
      </c>
      <c r="E609" s="4">
        <v>49788.21</v>
      </c>
      <c r="F609" s="4">
        <v>83740.842000000004</v>
      </c>
    </row>
    <row r="610" spans="1:6" x14ac:dyDescent="0.2">
      <c r="A610" s="3" t="s">
        <v>9</v>
      </c>
      <c r="B610" s="3" t="s">
        <v>17</v>
      </c>
      <c r="C610" s="3">
        <v>33432.300000000003</v>
      </c>
      <c r="D610" s="4">
        <v>100296.9</v>
      </c>
      <c r="E610" s="4">
        <v>33432.300000000003</v>
      </c>
      <c r="F610" s="4">
        <v>83740.842000000004</v>
      </c>
    </row>
    <row r="611" spans="1:6" x14ac:dyDescent="0.2">
      <c r="A611" s="3" t="s">
        <v>10</v>
      </c>
      <c r="B611" s="3" t="s">
        <v>17</v>
      </c>
      <c r="C611" s="3">
        <v>52299.97</v>
      </c>
      <c r="D611" s="4">
        <v>156899.91</v>
      </c>
      <c r="E611" s="4">
        <v>52299.97</v>
      </c>
      <c r="F611" s="4">
        <v>83740.842000000004</v>
      </c>
    </row>
    <row r="612" spans="1:6" x14ac:dyDescent="0.2">
      <c r="A612" s="3" t="s">
        <v>11</v>
      </c>
      <c r="B612" s="3" t="s">
        <v>17</v>
      </c>
      <c r="C612" s="3">
        <v>34143.08</v>
      </c>
      <c r="D612" s="4">
        <v>102429.24</v>
      </c>
      <c r="E612" s="4">
        <v>34143.08</v>
      </c>
      <c r="F612" s="4">
        <v>83740.842000000004</v>
      </c>
    </row>
    <row r="613" spans="1:6" x14ac:dyDescent="0.2">
      <c r="A613" s="3" t="s">
        <v>12</v>
      </c>
      <c r="B613" s="3" t="s">
        <v>17</v>
      </c>
      <c r="C613" s="3">
        <v>46762.75</v>
      </c>
      <c r="D613" s="4">
        <v>140288.25</v>
      </c>
      <c r="E613" s="4">
        <v>46762.75</v>
      </c>
      <c r="F613" s="4">
        <v>83740.842000000004</v>
      </c>
    </row>
    <row r="614" spans="1:6" x14ac:dyDescent="0.2">
      <c r="A614" s="3" t="s">
        <v>13</v>
      </c>
      <c r="B614" s="3" t="s">
        <v>17</v>
      </c>
      <c r="C614" s="3">
        <v>51160.9</v>
      </c>
      <c r="D614" s="4">
        <v>153482.70000000001</v>
      </c>
      <c r="E614" s="4">
        <v>51160.9</v>
      </c>
      <c r="F614" s="4">
        <v>83740.842000000004</v>
      </c>
    </row>
    <row r="615" spans="1:6" x14ac:dyDescent="0.2">
      <c r="A615" s="3" t="s">
        <v>7</v>
      </c>
      <c r="B615" s="3" t="s">
        <v>18</v>
      </c>
      <c r="C615" s="3">
        <v>37672.5</v>
      </c>
      <c r="D615" s="4">
        <v>113017.5</v>
      </c>
      <c r="E615" s="4">
        <v>37672.5</v>
      </c>
      <c r="F615" s="4">
        <v>99634.98599999999</v>
      </c>
    </row>
    <row r="616" spans="1:6" x14ac:dyDescent="0.2">
      <c r="A616" s="3" t="s">
        <v>9</v>
      </c>
      <c r="B616" s="3" t="s">
        <v>18</v>
      </c>
      <c r="C616" s="3">
        <v>37001.67</v>
      </c>
      <c r="D616" s="4">
        <v>111005.01</v>
      </c>
      <c r="E616" s="4">
        <v>37001.67</v>
      </c>
      <c r="F616" s="4">
        <v>99634.98599999999</v>
      </c>
    </row>
    <row r="617" spans="1:6" x14ac:dyDescent="0.2">
      <c r="A617" s="3" t="s">
        <v>10</v>
      </c>
      <c r="B617" s="3" t="s">
        <v>18</v>
      </c>
      <c r="C617" s="3">
        <v>39154.31</v>
      </c>
      <c r="D617" s="4">
        <v>117462.93</v>
      </c>
      <c r="E617" s="4">
        <v>39154.31</v>
      </c>
      <c r="F617" s="4">
        <v>99634.98599999999</v>
      </c>
    </row>
    <row r="618" spans="1:6" x14ac:dyDescent="0.2">
      <c r="A618" s="3" t="s">
        <v>11</v>
      </c>
      <c r="B618" s="3" t="s">
        <v>18</v>
      </c>
      <c r="C618" s="3">
        <v>51274.81</v>
      </c>
      <c r="D618" s="4">
        <v>153824.43</v>
      </c>
      <c r="E618" s="4">
        <v>51274.81</v>
      </c>
      <c r="F618" s="4">
        <v>99634.98599999999</v>
      </c>
    </row>
    <row r="619" spans="1:6" x14ac:dyDescent="0.2">
      <c r="A619" s="3" t="s">
        <v>12</v>
      </c>
      <c r="B619" s="3" t="s">
        <v>18</v>
      </c>
      <c r="C619" s="3">
        <v>52879.11</v>
      </c>
      <c r="D619" s="4">
        <v>158637.32999999999</v>
      </c>
      <c r="E619" s="4">
        <v>52879.11</v>
      </c>
      <c r="F619" s="4">
        <v>99634.98599999999</v>
      </c>
    </row>
    <row r="620" spans="1:6" x14ac:dyDescent="0.2">
      <c r="A620" s="3" t="s">
        <v>13</v>
      </c>
      <c r="B620" s="3" t="s">
        <v>18</v>
      </c>
      <c r="C620" s="3">
        <v>48030.6</v>
      </c>
      <c r="D620" s="4">
        <v>144091.79999999999</v>
      </c>
      <c r="E620" s="4">
        <v>48030.6</v>
      </c>
      <c r="F620" s="4">
        <v>99634.98599999999</v>
      </c>
    </row>
    <row r="621" spans="1:6" x14ac:dyDescent="0.2">
      <c r="A621" s="3" t="s">
        <v>7</v>
      </c>
      <c r="B621" s="3" t="s">
        <v>15</v>
      </c>
      <c r="C621" s="3">
        <v>51296.69</v>
      </c>
      <c r="D621" s="4">
        <v>153890.07</v>
      </c>
      <c r="E621" s="4">
        <v>51296.69</v>
      </c>
      <c r="F621" s="4">
        <v>95796.692999999999</v>
      </c>
    </row>
    <row r="622" spans="1:6" x14ac:dyDescent="0.2">
      <c r="A622" s="3" t="s">
        <v>9</v>
      </c>
      <c r="B622" s="3" t="s">
        <v>15</v>
      </c>
      <c r="C622" s="3">
        <v>37592.550000000003</v>
      </c>
      <c r="D622" s="4">
        <v>112777.65</v>
      </c>
      <c r="E622" s="4">
        <v>37592.550000000003</v>
      </c>
      <c r="F622" s="4">
        <v>95796.692999999999</v>
      </c>
    </row>
    <row r="623" spans="1:6" x14ac:dyDescent="0.2">
      <c r="A623" s="3" t="s">
        <v>10</v>
      </c>
      <c r="B623" s="3" t="s">
        <v>15</v>
      </c>
      <c r="C623" s="3">
        <v>49302.66</v>
      </c>
      <c r="D623" s="4">
        <v>147907.98000000001</v>
      </c>
      <c r="E623" s="4">
        <v>49302.66</v>
      </c>
      <c r="F623" s="4">
        <v>95796.692999999999</v>
      </c>
    </row>
    <row r="624" spans="1:6" x14ac:dyDescent="0.2">
      <c r="A624" s="3" t="s">
        <v>11</v>
      </c>
      <c r="B624" s="3" t="s">
        <v>15</v>
      </c>
      <c r="C624" s="3">
        <v>41737.19</v>
      </c>
      <c r="D624" s="4">
        <v>125211.57</v>
      </c>
      <c r="E624" s="4">
        <v>41737.19</v>
      </c>
      <c r="F624" s="4">
        <v>95796.692999999999</v>
      </c>
    </row>
    <row r="625" spans="1:6" x14ac:dyDescent="0.2">
      <c r="A625" s="3" t="s">
        <v>12</v>
      </c>
      <c r="B625" s="3" t="s">
        <v>15</v>
      </c>
      <c r="C625" s="3">
        <v>58738.5</v>
      </c>
      <c r="D625" s="4">
        <v>176215.5</v>
      </c>
      <c r="E625" s="4">
        <v>58738.5</v>
      </c>
      <c r="F625" s="4">
        <v>95796.692999999999</v>
      </c>
    </row>
    <row r="626" spans="1:6" x14ac:dyDescent="0.2">
      <c r="A626" s="3" t="s">
        <v>13</v>
      </c>
      <c r="B626" s="3" t="s">
        <v>15</v>
      </c>
      <c r="C626" s="3">
        <v>51589.11</v>
      </c>
      <c r="D626" s="4">
        <v>154767.32999999999</v>
      </c>
      <c r="E626" s="4">
        <v>51589.11</v>
      </c>
      <c r="F626" s="4">
        <v>95796.692999999999</v>
      </c>
    </row>
    <row r="627" spans="1:6" x14ac:dyDescent="0.2">
      <c r="A627" s="3" t="s">
        <v>7</v>
      </c>
      <c r="B627" s="3" t="s">
        <v>20</v>
      </c>
      <c r="C627" s="3">
        <v>56862.98</v>
      </c>
      <c r="D627" s="4">
        <v>170588.94</v>
      </c>
      <c r="E627" s="4">
        <v>56862.98</v>
      </c>
      <c r="F627" s="4">
        <v>92182.01400000001</v>
      </c>
    </row>
    <row r="628" spans="1:6" x14ac:dyDescent="0.2">
      <c r="A628" s="3" t="s">
        <v>9</v>
      </c>
      <c r="B628" s="3" t="s">
        <v>20</v>
      </c>
      <c r="C628" s="3">
        <v>78572.55</v>
      </c>
      <c r="D628" s="4">
        <v>235717.65</v>
      </c>
      <c r="E628" s="4">
        <v>78572.55</v>
      </c>
      <c r="F628" s="4">
        <v>92182.01400000001</v>
      </c>
    </row>
    <row r="629" spans="1:6" x14ac:dyDescent="0.2">
      <c r="A629" s="3" t="s">
        <v>10</v>
      </c>
      <c r="B629" s="3" t="s">
        <v>20</v>
      </c>
      <c r="C629" s="3">
        <v>76191.490000000005</v>
      </c>
      <c r="D629" s="4">
        <v>228574.47</v>
      </c>
      <c r="E629" s="4">
        <v>76191.490000000005</v>
      </c>
      <c r="F629" s="4">
        <v>92182.01400000001</v>
      </c>
    </row>
    <row r="630" spans="1:6" x14ac:dyDescent="0.2">
      <c r="A630" s="3" t="s">
        <v>11</v>
      </c>
      <c r="B630" s="3" t="s">
        <v>20</v>
      </c>
      <c r="C630" s="3">
        <v>79997.350000000006</v>
      </c>
      <c r="D630" s="4">
        <v>239992.05</v>
      </c>
      <c r="E630" s="4">
        <v>79997.350000000006</v>
      </c>
      <c r="F630" s="4">
        <v>92182.01400000001</v>
      </c>
    </row>
    <row r="631" spans="1:6" x14ac:dyDescent="0.2">
      <c r="A631" s="3" t="s">
        <v>12</v>
      </c>
      <c r="B631" s="3" t="s">
        <v>20</v>
      </c>
      <c r="C631" s="3">
        <v>72244.399999999994</v>
      </c>
      <c r="D631" s="4">
        <v>216733.2</v>
      </c>
      <c r="E631" s="4">
        <v>72244.399999999994</v>
      </c>
      <c r="F631" s="4">
        <v>92182.01400000001</v>
      </c>
    </row>
    <row r="632" spans="1:6" x14ac:dyDescent="0.2">
      <c r="A632" s="3" t="s">
        <v>13</v>
      </c>
      <c r="B632" s="3" t="s">
        <v>20</v>
      </c>
      <c r="C632" s="3">
        <v>70570.2</v>
      </c>
      <c r="D632" s="4">
        <v>211710.6</v>
      </c>
      <c r="E632" s="4">
        <v>70570.2</v>
      </c>
      <c r="F632" s="4">
        <v>92182.01400000001</v>
      </c>
    </row>
    <row r="633" spans="1:6" x14ac:dyDescent="0.2">
      <c r="A633" s="3" t="s">
        <v>7</v>
      </c>
      <c r="B633" s="3" t="s">
        <v>18</v>
      </c>
      <c r="C633" s="3">
        <v>45115.27</v>
      </c>
      <c r="D633" s="4">
        <v>135345.81</v>
      </c>
      <c r="E633" s="4">
        <v>45115.27</v>
      </c>
      <c r="F633" s="4">
        <v>99634.98599999999</v>
      </c>
    </row>
    <row r="634" spans="1:6" x14ac:dyDescent="0.2">
      <c r="A634" s="3" t="s">
        <v>9</v>
      </c>
      <c r="B634" s="3" t="s">
        <v>18</v>
      </c>
      <c r="C634" s="3">
        <v>55242.39</v>
      </c>
      <c r="D634" s="4">
        <v>165727.17000000001</v>
      </c>
      <c r="E634" s="4">
        <v>55242.39</v>
      </c>
      <c r="F634" s="4">
        <v>99634.98599999999</v>
      </c>
    </row>
    <row r="635" spans="1:6" x14ac:dyDescent="0.2">
      <c r="A635" s="3" t="s">
        <v>10</v>
      </c>
      <c r="B635" s="3" t="s">
        <v>18</v>
      </c>
      <c r="C635" s="3">
        <v>46421.19</v>
      </c>
      <c r="D635" s="4">
        <v>139263.57</v>
      </c>
      <c r="E635" s="4">
        <v>46421.19</v>
      </c>
      <c r="F635" s="4">
        <v>99634.98599999999</v>
      </c>
    </row>
    <row r="636" spans="1:6" x14ac:dyDescent="0.2">
      <c r="A636" s="3" t="s">
        <v>11</v>
      </c>
      <c r="B636" s="3" t="s">
        <v>18</v>
      </c>
      <c r="C636" s="3">
        <v>62740.75</v>
      </c>
      <c r="D636" s="4">
        <v>188222.25</v>
      </c>
      <c r="E636" s="4">
        <v>62740.75</v>
      </c>
      <c r="F636" s="4">
        <v>99634.98599999999</v>
      </c>
    </row>
    <row r="637" spans="1:6" x14ac:dyDescent="0.2">
      <c r="A637" s="3" t="s">
        <v>12</v>
      </c>
      <c r="B637" s="3" t="s">
        <v>18</v>
      </c>
      <c r="C637" s="3">
        <v>44042.55</v>
      </c>
      <c r="D637" s="4">
        <v>132127.65</v>
      </c>
      <c r="E637" s="4">
        <v>44042.55</v>
      </c>
      <c r="F637" s="4">
        <v>99634.98599999999</v>
      </c>
    </row>
    <row r="638" spans="1:6" x14ac:dyDescent="0.2">
      <c r="A638" s="3" t="s">
        <v>13</v>
      </c>
      <c r="B638" s="3" t="s">
        <v>18</v>
      </c>
      <c r="C638" s="3">
        <v>45074.87</v>
      </c>
      <c r="D638" s="4">
        <v>135224.60999999999</v>
      </c>
      <c r="E638" s="4">
        <v>45074.87</v>
      </c>
      <c r="F638" s="4">
        <v>99634.98599999999</v>
      </c>
    </row>
    <row r="639" spans="1:6" x14ac:dyDescent="0.2">
      <c r="A639" s="3" t="s">
        <v>7</v>
      </c>
      <c r="B639" s="3" t="s">
        <v>17</v>
      </c>
      <c r="C639" s="3">
        <v>51991.69</v>
      </c>
      <c r="D639" s="4">
        <v>155975.07</v>
      </c>
      <c r="E639" s="4">
        <v>51991.69</v>
      </c>
      <c r="F639" s="4">
        <v>83740.842000000004</v>
      </c>
    </row>
    <row r="640" spans="1:6" x14ac:dyDescent="0.2">
      <c r="A640" s="3" t="s">
        <v>9</v>
      </c>
      <c r="B640" s="3" t="s">
        <v>17</v>
      </c>
      <c r="C640" s="3">
        <v>58187.15</v>
      </c>
      <c r="D640" s="4">
        <v>174561.45</v>
      </c>
      <c r="E640" s="4">
        <v>58187.15</v>
      </c>
      <c r="F640" s="4">
        <v>83740.842000000004</v>
      </c>
    </row>
    <row r="641" spans="1:6" x14ac:dyDescent="0.2">
      <c r="A641" s="3" t="s">
        <v>10</v>
      </c>
      <c r="B641" s="3" t="s">
        <v>17</v>
      </c>
      <c r="C641" s="3">
        <v>69907.91</v>
      </c>
      <c r="D641" s="4">
        <v>209723.73</v>
      </c>
      <c r="E641" s="4">
        <v>69907.91</v>
      </c>
      <c r="F641" s="4">
        <v>83740.842000000004</v>
      </c>
    </row>
    <row r="642" spans="1:6" x14ac:dyDescent="0.2">
      <c r="A642" s="3" t="s">
        <v>11</v>
      </c>
      <c r="B642" s="3" t="s">
        <v>17</v>
      </c>
      <c r="C642" s="3">
        <v>59027.53</v>
      </c>
      <c r="D642" s="4">
        <v>177082.59</v>
      </c>
      <c r="E642" s="4">
        <v>59027.53</v>
      </c>
      <c r="F642" s="4">
        <v>83740.842000000004</v>
      </c>
    </row>
    <row r="643" spans="1:6" x14ac:dyDescent="0.2">
      <c r="A643" s="3" t="s">
        <v>12</v>
      </c>
      <c r="B643" s="3" t="s">
        <v>17</v>
      </c>
      <c r="C643" s="3">
        <v>80431.63</v>
      </c>
      <c r="D643" s="4">
        <v>241294.89</v>
      </c>
      <c r="E643" s="4">
        <v>80431.63</v>
      </c>
      <c r="F643" s="4">
        <v>83740.842000000004</v>
      </c>
    </row>
    <row r="644" spans="1:6" x14ac:dyDescent="0.2">
      <c r="A644" s="3" t="s">
        <v>13</v>
      </c>
      <c r="B644" s="3" t="s">
        <v>17</v>
      </c>
      <c r="C644" s="3">
        <v>84383.19</v>
      </c>
      <c r="D644" s="4">
        <v>253149.57</v>
      </c>
      <c r="E644" s="4">
        <v>84383.19</v>
      </c>
      <c r="F644" s="4">
        <v>83740.842000000004</v>
      </c>
    </row>
    <row r="645" spans="1:6" x14ac:dyDescent="0.2">
      <c r="A645" s="3" t="s">
        <v>7</v>
      </c>
      <c r="B645" s="3" t="s">
        <v>15</v>
      </c>
      <c r="C645" s="3">
        <v>63680.58</v>
      </c>
      <c r="D645" s="4">
        <v>191041.74</v>
      </c>
      <c r="E645" s="4">
        <v>63680.58</v>
      </c>
      <c r="F645" s="4">
        <v>95796.692999999999</v>
      </c>
    </row>
    <row r="646" spans="1:6" x14ac:dyDescent="0.2">
      <c r="A646" s="3" t="s">
        <v>9</v>
      </c>
      <c r="B646" s="3" t="s">
        <v>15</v>
      </c>
      <c r="C646" s="3">
        <v>54571.58</v>
      </c>
      <c r="D646" s="4">
        <v>163714.74</v>
      </c>
      <c r="E646" s="4">
        <v>54571.58</v>
      </c>
      <c r="F646" s="4">
        <v>95796.692999999999</v>
      </c>
    </row>
    <row r="647" spans="1:6" x14ac:dyDescent="0.2">
      <c r="A647" s="3" t="s">
        <v>10</v>
      </c>
      <c r="B647" s="3" t="s">
        <v>15</v>
      </c>
      <c r="C647" s="3">
        <v>53582.65</v>
      </c>
      <c r="D647" s="4">
        <v>160747.95000000001</v>
      </c>
      <c r="E647" s="4">
        <v>53582.65</v>
      </c>
      <c r="F647" s="4">
        <v>95796.692999999999</v>
      </c>
    </row>
    <row r="648" spans="1:6" x14ac:dyDescent="0.2">
      <c r="A648" s="3" t="s">
        <v>11</v>
      </c>
      <c r="B648" s="3" t="s">
        <v>15</v>
      </c>
      <c r="C648" s="3">
        <v>60811.12</v>
      </c>
      <c r="D648" s="4">
        <v>182433.36</v>
      </c>
      <c r="E648" s="4">
        <v>60811.12</v>
      </c>
      <c r="F648" s="4">
        <v>95796.692999999999</v>
      </c>
    </row>
    <row r="649" spans="1:6" x14ac:dyDescent="0.2">
      <c r="A649" s="3" t="s">
        <v>12</v>
      </c>
      <c r="B649" s="3" t="s">
        <v>15</v>
      </c>
      <c r="C649" s="3">
        <v>51722.1</v>
      </c>
      <c r="D649" s="4">
        <v>155166.29999999999</v>
      </c>
      <c r="E649" s="4">
        <v>51722.1</v>
      </c>
      <c r="F649" s="4">
        <v>95796.692999999999</v>
      </c>
    </row>
    <row r="650" spans="1:6" x14ac:dyDescent="0.2">
      <c r="A650" s="3" t="s">
        <v>13</v>
      </c>
      <c r="B650" s="3" t="s">
        <v>15</v>
      </c>
      <c r="C650" s="3">
        <v>46774.46</v>
      </c>
      <c r="D650" s="4">
        <v>140323.38</v>
      </c>
      <c r="E650" s="4">
        <v>46774.46</v>
      </c>
      <c r="F650" s="4">
        <v>95796.692999999999</v>
      </c>
    </row>
    <row r="651" spans="1:6" x14ac:dyDescent="0.2">
      <c r="A651" s="3" t="s">
        <v>7</v>
      </c>
      <c r="B651" s="3" t="s">
        <v>18</v>
      </c>
      <c r="C651" s="3">
        <v>49665.69</v>
      </c>
      <c r="D651" s="4">
        <v>148997.07</v>
      </c>
      <c r="E651" s="4">
        <v>49665.69</v>
      </c>
      <c r="F651" s="4">
        <v>99634.98599999999</v>
      </c>
    </row>
    <row r="652" spans="1:6" x14ac:dyDescent="0.2">
      <c r="A652" s="3" t="s">
        <v>9</v>
      </c>
      <c r="B652" s="3" t="s">
        <v>18</v>
      </c>
      <c r="C652" s="3">
        <v>74853.83</v>
      </c>
      <c r="D652" s="4">
        <v>224561.49</v>
      </c>
      <c r="E652" s="4">
        <v>74853.83</v>
      </c>
      <c r="F652" s="4">
        <v>99634.98599999999</v>
      </c>
    </row>
    <row r="653" spans="1:6" x14ac:dyDescent="0.2">
      <c r="A653" s="3" t="s">
        <v>10</v>
      </c>
      <c r="B653" s="3" t="s">
        <v>18</v>
      </c>
      <c r="C653" s="3">
        <v>56208.14</v>
      </c>
      <c r="D653" s="4">
        <v>168624.42</v>
      </c>
      <c r="E653" s="4">
        <v>56208.14</v>
      </c>
      <c r="F653" s="4">
        <v>99634.98599999999</v>
      </c>
    </row>
    <row r="654" spans="1:6" x14ac:dyDescent="0.2">
      <c r="A654" s="3" t="s">
        <v>11</v>
      </c>
      <c r="B654" s="3" t="s">
        <v>18</v>
      </c>
      <c r="C654" s="3">
        <v>67379.460000000006</v>
      </c>
      <c r="D654" s="4">
        <v>202138.38</v>
      </c>
      <c r="E654" s="4">
        <v>67379.460000000006</v>
      </c>
      <c r="F654" s="4">
        <v>99634.98599999999</v>
      </c>
    </row>
    <row r="655" spans="1:6" x14ac:dyDescent="0.2">
      <c r="A655" s="3" t="s">
        <v>12</v>
      </c>
      <c r="B655" s="3" t="s">
        <v>18</v>
      </c>
      <c r="C655" s="3">
        <v>78084.37</v>
      </c>
      <c r="D655" s="4">
        <v>234253.11</v>
      </c>
      <c r="E655" s="4">
        <v>78084.37</v>
      </c>
      <c r="F655" s="4">
        <v>99634.98599999999</v>
      </c>
    </row>
    <row r="656" spans="1:6" x14ac:dyDescent="0.2">
      <c r="A656" s="3" t="s">
        <v>13</v>
      </c>
      <c r="B656" s="3" t="s">
        <v>18</v>
      </c>
      <c r="C656" s="3">
        <v>67528.45</v>
      </c>
      <c r="D656" s="4">
        <v>202585.35</v>
      </c>
      <c r="E656" s="4">
        <v>67528.45</v>
      </c>
      <c r="F656" s="4">
        <v>99634.98599999999</v>
      </c>
    </row>
    <row r="657" spans="1:6" x14ac:dyDescent="0.2">
      <c r="A657" s="3" t="s">
        <v>7</v>
      </c>
      <c r="B657" s="3" t="s">
        <v>14</v>
      </c>
      <c r="C657" s="3">
        <v>55502.12</v>
      </c>
      <c r="D657" s="4">
        <v>166506.35999999999</v>
      </c>
      <c r="E657" s="4">
        <v>55502.12</v>
      </c>
      <c r="F657" s="4">
        <v>92194.631999999998</v>
      </c>
    </row>
    <row r="658" spans="1:6" x14ac:dyDescent="0.2">
      <c r="A658" s="3" t="s">
        <v>9</v>
      </c>
      <c r="B658" s="3" t="s">
        <v>14</v>
      </c>
      <c r="C658" s="3">
        <v>41852.81</v>
      </c>
      <c r="D658" s="4">
        <v>125558.43</v>
      </c>
      <c r="E658" s="4">
        <v>41852.81</v>
      </c>
      <c r="F658" s="4">
        <v>92194.631999999998</v>
      </c>
    </row>
    <row r="659" spans="1:6" x14ac:dyDescent="0.2">
      <c r="A659" s="3" t="s">
        <v>10</v>
      </c>
      <c r="B659" s="3" t="s">
        <v>14</v>
      </c>
      <c r="C659" s="3">
        <v>64765.46</v>
      </c>
      <c r="D659" s="4">
        <v>194296.38</v>
      </c>
      <c r="E659" s="4">
        <v>64765.46</v>
      </c>
      <c r="F659" s="4">
        <v>92194.631999999998</v>
      </c>
    </row>
    <row r="660" spans="1:6" x14ac:dyDescent="0.2">
      <c r="A660" s="3" t="s">
        <v>11</v>
      </c>
      <c r="B660" s="3" t="s">
        <v>14</v>
      </c>
      <c r="C660" s="3">
        <v>50161.45</v>
      </c>
      <c r="D660" s="4">
        <v>150484.35</v>
      </c>
      <c r="E660" s="4">
        <v>50161.45</v>
      </c>
      <c r="F660" s="4">
        <v>92194.631999999998</v>
      </c>
    </row>
    <row r="661" spans="1:6" x14ac:dyDescent="0.2">
      <c r="A661" s="3" t="s">
        <v>12</v>
      </c>
      <c r="B661" s="3" t="s">
        <v>14</v>
      </c>
      <c r="C661" s="3">
        <v>64365.06</v>
      </c>
      <c r="D661" s="4">
        <v>193095.18</v>
      </c>
      <c r="E661" s="4">
        <v>64365.06</v>
      </c>
      <c r="F661" s="4">
        <v>92194.631999999998</v>
      </c>
    </row>
    <row r="662" spans="1:6" x14ac:dyDescent="0.2">
      <c r="A662" s="3" t="s">
        <v>13</v>
      </c>
      <c r="B662" s="3" t="s">
        <v>14</v>
      </c>
      <c r="C662" s="3">
        <v>69098.87</v>
      </c>
      <c r="D662" s="4">
        <v>207296.61</v>
      </c>
      <c r="E662" s="4">
        <v>69098.87</v>
      </c>
      <c r="F662" s="4">
        <v>92194.631999999998</v>
      </c>
    </row>
    <row r="663" spans="1:6" x14ac:dyDescent="0.2">
      <c r="A663" s="3" t="s">
        <v>7</v>
      </c>
      <c r="B663" s="3" t="s">
        <v>20</v>
      </c>
      <c r="C663" s="3">
        <v>48277.16</v>
      </c>
      <c r="D663" s="4">
        <v>144831.48000000001</v>
      </c>
      <c r="E663" s="4">
        <v>48277.16</v>
      </c>
      <c r="F663" s="4">
        <v>92182.01400000001</v>
      </c>
    </row>
    <row r="664" spans="1:6" x14ac:dyDescent="0.2">
      <c r="A664" s="3" t="s">
        <v>9</v>
      </c>
      <c r="B664" s="3" t="s">
        <v>20</v>
      </c>
      <c r="C664" s="3">
        <v>50907.43</v>
      </c>
      <c r="D664" s="4">
        <v>152722.29</v>
      </c>
      <c r="E664" s="4">
        <v>50907.43</v>
      </c>
      <c r="F664" s="4">
        <v>92182.01400000001</v>
      </c>
    </row>
    <row r="665" spans="1:6" x14ac:dyDescent="0.2">
      <c r="A665" s="3" t="s">
        <v>10</v>
      </c>
      <c r="B665" s="3" t="s">
        <v>20</v>
      </c>
      <c r="C665" s="3">
        <v>68226.47</v>
      </c>
      <c r="D665" s="4">
        <v>204679.41</v>
      </c>
      <c r="E665" s="4">
        <v>68226.47</v>
      </c>
      <c r="F665" s="4">
        <v>92182.01400000001</v>
      </c>
    </row>
    <row r="666" spans="1:6" x14ac:dyDescent="0.2">
      <c r="A666" s="3" t="s">
        <v>11</v>
      </c>
      <c r="B666" s="3" t="s">
        <v>20</v>
      </c>
      <c r="C666" s="3">
        <v>50778.76</v>
      </c>
      <c r="D666" s="4">
        <v>152336.28</v>
      </c>
      <c r="E666" s="4">
        <v>50778.76</v>
      </c>
      <c r="F666" s="4">
        <v>92182.01400000001</v>
      </c>
    </row>
    <row r="667" spans="1:6" x14ac:dyDescent="0.2">
      <c r="A667" s="3" t="s">
        <v>12</v>
      </c>
      <c r="B667" s="3" t="s">
        <v>20</v>
      </c>
      <c r="C667" s="3">
        <v>49925.05</v>
      </c>
      <c r="D667" s="4">
        <v>149775.15</v>
      </c>
      <c r="E667" s="4">
        <v>49925.05</v>
      </c>
      <c r="F667" s="4">
        <v>92182.01400000001</v>
      </c>
    </row>
    <row r="668" spans="1:6" x14ac:dyDescent="0.2">
      <c r="A668" s="3" t="s">
        <v>13</v>
      </c>
      <c r="B668" s="3" t="s">
        <v>20</v>
      </c>
      <c r="C668" s="3">
        <v>71814.52</v>
      </c>
      <c r="D668" s="4">
        <v>215443.56</v>
      </c>
      <c r="E668" s="4">
        <v>71814.52</v>
      </c>
      <c r="F668" s="4">
        <v>92182.01400000001</v>
      </c>
    </row>
    <row r="669" spans="1:6" x14ac:dyDescent="0.2">
      <c r="A669" s="3" t="s">
        <v>7</v>
      </c>
      <c r="B669" s="3" t="s">
        <v>17</v>
      </c>
      <c r="C669" s="3">
        <v>31119.83</v>
      </c>
      <c r="D669" s="4">
        <v>93359.49</v>
      </c>
      <c r="E669" s="4">
        <v>31119.83</v>
      </c>
      <c r="F669" s="4">
        <v>83740.842000000004</v>
      </c>
    </row>
    <row r="670" spans="1:6" x14ac:dyDescent="0.2">
      <c r="A670" s="3" t="s">
        <v>9</v>
      </c>
      <c r="B670" s="3" t="s">
        <v>17</v>
      </c>
      <c r="C670" s="3">
        <v>28444.99</v>
      </c>
      <c r="D670" s="4">
        <v>85334.97</v>
      </c>
      <c r="E670" s="4">
        <v>28444.99</v>
      </c>
      <c r="F670" s="4">
        <v>83740.842000000004</v>
      </c>
    </row>
    <row r="671" spans="1:6" x14ac:dyDescent="0.2">
      <c r="A671" s="3" t="s">
        <v>10</v>
      </c>
      <c r="B671" s="3" t="s">
        <v>17</v>
      </c>
      <c r="C671" s="3">
        <v>36745.42</v>
      </c>
      <c r="D671" s="4">
        <v>110236.26</v>
      </c>
      <c r="E671" s="4">
        <v>36745.42</v>
      </c>
      <c r="F671" s="4">
        <v>83740.842000000004</v>
      </c>
    </row>
    <row r="672" spans="1:6" x14ac:dyDescent="0.2">
      <c r="A672" s="3" t="s">
        <v>11</v>
      </c>
      <c r="B672" s="3" t="s">
        <v>17</v>
      </c>
      <c r="C672" s="3">
        <v>33412.68</v>
      </c>
      <c r="D672" s="4">
        <v>100238.04</v>
      </c>
      <c r="E672" s="4">
        <v>33412.68</v>
      </c>
      <c r="F672" s="4">
        <v>83740.842000000004</v>
      </c>
    </row>
    <row r="673" spans="1:6" x14ac:dyDescent="0.2">
      <c r="A673" s="3" t="s">
        <v>12</v>
      </c>
      <c r="B673" s="3" t="s">
        <v>17</v>
      </c>
      <c r="C673" s="3">
        <v>25008.31</v>
      </c>
      <c r="D673" s="4">
        <v>75024.930000000008</v>
      </c>
      <c r="E673" s="4">
        <v>25008.31</v>
      </c>
      <c r="F673" s="4">
        <v>83740.842000000004</v>
      </c>
    </row>
    <row r="674" spans="1:6" x14ac:dyDescent="0.2">
      <c r="A674" s="3" t="s">
        <v>13</v>
      </c>
      <c r="B674" s="3" t="s">
        <v>17</v>
      </c>
      <c r="C674" s="3">
        <v>35302.050000000003</v>
      </c>
      <c r="D674" s="4">
        <v>105906.15</v>
      </c>
      <c r="E674" s="4">
        <v>35302.050000000003</v>
      </c>
      <c r="F674" s="4">
        <v>83740.842000000004</v>
      </c>
    </row>
    <row r="675" spans="1:6" x14ac:dyDescent="0.2">
      <c r="A675" s="3" t="s">
        <v>7</v>
      </c>
      <c r="B675" s="3" t="s">
        <v>8</v>
      </c>
      <c r="C675" s="3">
        <v>61958.82</v>
      </c>
      <c r="D675" s="4">
        <v>185876.46</v>
      </c>
      <c r="E675" s="4">
        <v>61958.82</v>
      </c>
      <c r="F675" s="4">
        <v>91734.462</v>
      </c>
    </row>
    <row r="676" spans="1:6" x14ac:dyDescent="0.2">
      <c r="A676" s="3" t="s">
        <v>9</v>
      </c>
      <c r="B676" s="3" t="s">
        <v>8</v>
      </c>
      <c r="C676" s="3">
        <v>47004.78</v>
      </c>
      <c r="D676" s="4">
        <v>141014.34</v>
      </c>
      <c r="E676" s="4">
        <v>47004.78</v>
      </c>
      <c r="F676" s="4">
        <v>91734.462</v>
      </c>
    </row>
    <row r="677" spans="1:6" x14ac:dyDescent="0.2">
      <c r="A677" s="3" t="s">
        <v>10</v>
      </c>
      <c r="B677" s="3" t="s">
        <v>8</v>
      </c>
      <c r="C677" s="3">
        <v>60379.48</v>
      </c>
      <c r="D677" s="4">
        <v>181138.44</v>
      </c>
      <c r="E677" s="4">
        <v>60379.48</v>
      </c>
      <c r="F677" s="4">
        <v>91734.462</v>
      </c>
    </row>
    <row r="678" spans="1:6" x14ac:dyDescent="0.2">
      <c r="A678" s="3" t="s">
        <v>11</v>
      </c>
      <c r="B678" s="3" t="s">
        <v>8</v>
      </c>
      <c r="C678" s="3">
        <v>66136.39</v>
      </c>
      <c r="D678" s="4">
        <v>198409.17</v>
      </c>
      <c r="E678" s="4">
        <v>66136.39</v>
      </c>
      <c r="F678" s="4">
        <v>91734.462</v>
      </c>
    </row>
    <row r="679" spans="1:6" x14ac:dyDescent="0.2">
      <c r="A679" s="3" t="s">
        <v>12</v>
      </c>
      <c r="B679" s="3" t="s">
        <v>8</v>
      </c>
      <c r="C679" s="3">
        <v>65245.82</v>
      </c>
      <c r="D679" s="4">
        <v>195737.46</v>
      </c>
      <c r="E679" s="4">
        <v>65245.82</v>
      </c>
      <c r="F679" s="4">
        <v>91734.462</v>
      </c>
    </row>
    <row r="680" spans="1:6" x14ac:dyDescent="0.2">
      <c r="A680" s="3" t="s">
        <v>13</v>
      </c>
      <c r="B680" s="3" t="s">
        <v>8</v>
      </c>
      <c r="C680" s="3">
        <v>58796.07</v>
      </c>
      <c r="D680" s="4">
        <v>176388.21</v>
      </c>
      <c r="E680" s="4">
        <v>58796.07</v>
      </c>
      <c r="F680" s="4">
        <v>91734.462</v>
      </c>
    </row>
    <row r="681" spans="1:6" x14ac:dyDescent="0.2">
      <c r="A681" s="3" t="s">
        <v>7</v>
      </c>
      <c r="B681" s="3" t="s">
        <v>19</v>
      </c>
      <c r="C681" s="3">
        <v>51304.95</v>
      </c>
      <c r="D681" s="4">
        <v>153914.85</v>
      </c>
      <c r="E681" s="4">
        <v>51304.95</v>
      </c>
      <c r="F681" s="4">
        <v>101747.052</v>
      </c>
    </row>
    <row r="682" spans="1:6" x14ac:dyDescent="0.2">
      <c r="A682" s="3" t="s">
        <v>9</v>
      </c>
      <c r="B682" s="3" t="s">
        <v>19</v>
      </c>
      <c r="C682" s="3">
        <v>45737.75</v>
      </c>
      <c r="D682" s="4">
        <v>137213.25</v>
      </c>
      <c r="E682" s="4">
        <v>45737.75</v>
      </c>
      <c r="F682" s="4">
        <v>101747.052</v>
      </c>
    </row>
    <row r="683" spans="1:6" x14ac:dyDescent="0.2">
      <c r="A683" s="3" t="s">
        <v>10</v>
      </c>
      <c r="B683" s="3" t="s">
        <v>19</v>
      </c>
      <c r="C683" s="3">
        <v>47839.9</v>
      </c>
      <c r="D683" s="4">
        <v>143519.70000000001</v>
      </c>
      <c r="E683" s="4">
        <v>47839.9</v>
      </c>
      <c r="F683" s="4">
        <v>101747.052</v>
      </c>
    </row>
    <row r="684" spans="1:6" x14ac:dyDescent="0.2">
      <c r="A684" s="3" t="s">
        <v>11</v>
      </c>
      <c r="B684" s="3" t="s">
        <v>19</v>
      </c>
      <c r="C684" s="3">
        <v>48280.04</v>
      </c>
      <c r="D684" s="4">
        <v>144840.12</v>
      </c>
      <c r="E684" s="4">
        <v>48280.04</v>
      </c>
      <c r="F684" s="4">
        <v>101747.052</v>
      </c>
    </row>
    <row r="685" spans="1:6" x14ac:dyDescent="0.2">
      <c r="A685" s="3" t="s">
        <v>12</v>
      </c>
      <c r="B685" s="3" t="s">
        <v>19</v>
      </c>
      <c r="C685" s="3">
        <v>65670.11</v>
      </c>
      <c r="D685" s="4">
        <v>197010.33</v>
      </c>
      <c r="E685" s="4">
        <v>65670.11</v>
      </c>
      <c r="F685" s="4">
        <v>101747.052</v>
      </c>
    </row>
    <row r="686" spans="1:6" x14ac:dyDescent="0.2">
      <c r="A686" s="3" t="s">
        <v>13</v>
      </c>
      <c r="B686" s="3" t="s">
        <v>19</v>
      </c>
      <c r="C686" s="3">
        <v>56480.76</v>
      </c>
      <c r="D686" s="4">
        <v>169442.28</v>
      </c>
      <c r="E686" s="4">
        <v>56480.76</v>
      </c>
      <c r="F686" s="4">
        <v>101747.052</v>
      </c>
    </row>
    <row r="687" spans="1:6" x14ac:dyDescent="0.2">
      <c r="A687" s="3" t="s">
        <v>7</v>
      </c>
      <c r="B687" s="3" t="s">
        <v>20</v>
      </c>
      <c r="C687" s="3">
        <v>50249.93</v>
      </c>
      <c r="D687" s="4">
        <v>150749.79</v>
      </c>
      <c r="E687" s="4">
        <v>50249.93</v>
      </c>
      <c r="F687" s="4">
        <v>92182.01400000001</v>
      </c>
    </row>
    <row r="688" spans="1:6" x14ac:dyDescent="0.2">
      <c r="A688" s="3" t="s">
        <v>9</v>
      </c>
      <c r="B688" s="3" t="s">
        <v>20</v>
      </c>
      <c r="C688" s="3">
        <v>48697.94</v>
      </c>
      <c r="D688" s="4">
        <v>146093.82</v>
      </c>
      <c r="E688" s="4">
        <v>48697.94</v>
      </c>
      <c r="F688" s="4">
        <v>92182.01400000001</v>
      </c>
    </row>
    <row r="689" spans="1:6" x14ac:dyDescent="0.2">
      <c r="A689" s="3" t="s">
        <v>10</v>
      </c>
      <c r="B689" s="3" t="s">
        <v>20</v>
      </c>
      <c r="C689" s="3">
        <v>48927.32</v>
      </c>
      <c r="D689" s="4">
        <v>146781.96</v>
      </c>
      <c r="E689" s="4">
        <v>48927.32</v>
      </c>
      <c r="F689" s="4">
        <v>92182.01400000001</v>
      </c>
    </row>
    <row r="690" spans="1:6" x14ac:dyDescent="0.2">
      <c r="A690" s="3" t="s">
        <v>11</v>
      </c>
      <c r="B690" s="3" t="s">
        <v>20</v>
      </c>
      <c r="C690" s="3">
        <v>66359.38</v>
      </c>
      <c r="D690" s="4">
        <v>199078.14</v>
      </c>
      <c r="E690" s="4">
        <v>66359.38</v>
      </c>
      <c r="F690" s="4">
        <v>92182.01400000001</v>
      </c>
    </row>
    <row r="691" spans="1:6" x14ac:dyDescent="0.2">
      <c r="A691" s="3" t="s">
        <v>12</v>
      </c>
      <c r="B691" s="3" t="s">
        <v>20</v>
      </c>
      <c r="C691" s="3">
        <v>75017.179999999993</v>
      </c>
      <c r="D691" s="4">
        <v>225051.54</v>
      </c>
      <c r="E691" s="4">
        <v>75017.179999999993</v>
      </c>
      <c r="F691" s="4">
        <v>92182.01400000001</v>
      </c>
    </row>
    <row r="692" spans="1:6" x14ac:dyDescent="0.2">
      <c r="A692" s="3" t="s">
        <v>13</v>
      </c>
      <c r="B692" s="3" t="s">
        <v>20</v>
      </c>
      <c r="C692" s="3">
        <v>71642.720000000001</v>
      </c>
      <c r="D692" s="4">
        <v>214928.16</v>
      </c>
      <c r="E692" s="4">
        <v>71642.720000000001</v>
      </c>
      <c r="F692" s="4">
        <v>92182.01400000001</v>
      </c>
    </row>
    <row r="693" spans="1:6" x14ac:dyDescent="0.2">
      <c r="A693" s="3" t="s">
        <v>7</v>
      </c>
      <c r="B693" s="3" t="s">
        <v>21</v>
      </c>
      <c r="C693" s="3">
        <v>45427.91</v>
      </c>
      <c r="D693" s="4">
        <v>136283.73000000001</v>
      </c>
      <c r="E693" s="4">
        <v>45427.91</v>
      </c>
      <c r="F693" s="4">
        <v>100474.88400000001</v>
      </c>
    </row>
    <row r="694" spans="1:6" x14ac:dyDescent="0.2">
      <c r="A694" s="3" t="s">
        <v>9</v>
      </c>
      <c r="B694" s="3" t="s">
        <v>21</v>
      </c>
      <c r="C694" s="3">
        <v>40001.120000000003</v>
      </c>
      <c r="D694" s="4">
        <v>120003.36</v>
      </c>
      <c r="E694" s="4">
        <v>40001.120000000003</v>
      </c>
      <c r="F694" s="4">
        <v>100474.88400000001</v>
      </c>
    </row>
    <row r="695" spans="1:6" x14ac:dyDescent="0.2">
      <c r="A695" s="3" t="s">
        <v>10</v>
      </c>
      <c r="B695" s="3" t="s">
        <v>21</v>
      </c>
      <c r="C695" s="3">
        <v>61413.55</v>
      </c>
      <c r="D695" s="4">
        <v>184240.65</v>
      </c>
      <c r="E695" s="4">
        <v>61413.55</v>
      </c>
      <c r="F695" s="4">
        <v>100474.88400000001</v>
      </c>
    </row>
    <row r="696" spans="1:6" x14ac:dyDescent="0.2">
      <c r="A696" s="3" t="s">
        <v>11</v>
      </c>
      <c r="B696" s="3" t="s">
        <v>21</v>
      </c>
      <c r="C696" s="3">
        <v>64464.12</v>
      </c>
      <c r="D696" s="4">
        <v>193392.36</v>
      </c>
      <c r="E696" s="4">
        <v>64464.12</v>
      </c>
      <c r="F696" s="4">
        <v>100474.88400000001</v>
      </c>
    </row>
    <row r="697" spans="1:6" x14ac:dyDescent="0.2">
      <c r="A697" s="3" t="s">
        <v>12</v>
      </c>
      <c r="B697" s="3" t="s">
        <v>21</v>
      </c>
      <c r="C697" s="3">
        <v>60571.01</v>
      </c>
      <c r="D697" s="4">
        <v>181713.03</v>
      </c>
      <c r="E697" s="4">
        <v>60571.01</v>
      </c>
      <c r="F697" s="4">
        <v>100474.88400000001</v>
      </c>
    </row>
    <row r="698" spans="1:6" x14ac:dyDescent="0.2">
      <c r="A698" s="3" t="s">
        <v>13</v>
      </c>
      <c r="B698" s="3" t="s">
        <v>21</v>
      </c>
      <c r="C698" s="3">
        <v>44196.56</v>
      </c>
      <c r="D698" s="4">
        <v>132589.68</v>
      </c>
      <c r="E698" s="4">
        <v>44196.56</v>
      </c>
      <c r="F698" s="4">
        <v>100474.88400000001</v>
      </c>
    </row>
    <row r="699" spans="1:6" x14ac:dyDescent="0.2">
      <c r="A699" s="3" t="s">
        <v>7</v>
      </c>
      <c r="B699" s="3" t="s">
        <v>19</v>
      </c>
      <c r="C699" s="3">
        <v>30451.13</v>
      </c>
      <c r="D699" s="4">
        <v>91353.39</v>
      </c>
      <c r="E699" s="4">
        <v>30451.13</v>
      </c>
      <c r="F699" s="4">
        <v>101747.052</v>
      </c>
    </row>
    <row r="700" spans="1:6" x14ac:dyDescent="0.2">
      <c r="A700" s="3" t="s">
        <v>9</v>
      </c>
      <c r="B700" s="3" t="s">
        <v>19</v>
      </c>
      <c r="C700" s="3">
        <v>26070.31</v>
      </c>
      <c r="D700" s="4">
        <v>78210.930000000008</v>
      </c>
      <c r="E700" s="4">
        <v>26070.31</v>
      </c>
      <c r="F700" s="4">
        <v>101747.052</v>
      </c>
    </row>
    <row r="701" spans="1:6" x14ac:dyDescent="0.2">
      <c r="A701" s="3" t="s">
        <v>10</v>
      </c>
      <c r="B701" s="3" t="s">
        <v>19</v>
      </c>
      <c r="C701" s="3">
        <v>42788.62</v>
      </c>
      <c r="D701" s="4">
        <v>128365.86</v>
      </c>
      <c r="E701" s="4">
        <v>42788.62</v>
      </c>
      <c r="F701" s="4">
        <v>101747.052</v>
      </c>
    </row>
    <row r="702" spans="1:6" x14ac:dyDescent="0.2">
      <c r="A702" s="3" t="s">
        <v>11</v>
      </c>
      <c r="B702" s="3" t="s">
        <v>19</v>
      </c>
      <c r="C702" s="3">
        <v>27772.76</v>
      </c>
      <c r="D702" s="4">
        <v>83318.28</v>
      </c>
      <c r="E702" s="4">
        <v>27772.76</v>
      </c>
      <c r="F702" s="4">
        <v>101747.052</v>
      </c>
    </row>
    <row r="703" spans="1:6" x14ac:dyDescent="0.2">
      <c r="A703" s="3" t="s">
        <v>12</v>
      </c>
      <c r="B703" s="3" t="s">
        <v>19</v>
      </c>
      <c r="C703" s="3">
        <v>46300.25</v>
      </c>
      <c r="D703" s="4">
        <v>138900.75</v>
      </c>
      <c r="E703" s="4">
        <v>46300.25</v>
      </c>
      <c r="F703" s="4">
        <v>101747.052</v>
      </c>
    </row>
    <row r="704" spans="1:6" x14ac:dyDescent="0.2">
      <c r="A704" s="3" t="s">
        <v>13</v>
      </c>
      <c r="B704" s="3" t="s">
        <v>19</v>
      </c>
      <c r="C704" s="3">
        <v>44831.15</v>
      </c>
      <c r="D704" s="4">
        <v>134493.45000000001</v>
      </c>
      <c r="E704" s="4">
        <v>44831.15</v>
      </c>
      <c r="F704" s="4">
        <v>101747.052</v>
      </c>
    </row>
    <row r="705" spans="1:6" x14ac:dyDescent="0.2">
      <c r="A705" s="3" t="s">
        <v>7</v>
      </c>
      <c r="B705" s="3" t="s">
        <v>8</v>
      </c>
      <c r="C705" s="3">
        <v>25577.3</v>
      </c>
      <c r="D705" s="4">
        <v>76731.899999999994</v>
      </c>
      <c r="E705" s="4">
        <v>25577.3</v>
      </c>
      <c r="F705" s="4">
        <v>91734.462</v>
      </c>
    </row>
    <row r="706" spans="1:6" x14ac:dyDescent="0.2">
      <c r="A706" s="3" t="s">
        <v>9</v>
      </c>
      <c r="B706" s="3" t="s">
        <v>8</v>
      </c>
      <c r="C706" s="3">
        <v>31077.05</v>
      </c>
      <c r="D706" s="4">
        <v>93231.15</v>
      </c>
      <c r="E706" s="4">
        <v>31077.05</v>
      </c>
      <c r="F706" s="4">
        <v>91734.462</v>
      </c>
    </row>
    <row r="707" spans="1:6" x14ac:dyDescent="0.2">
      <c r="A707" s="3" t="s">
        <v>10</v>
      </c>
      <c r="B707" s="3" t="s">
        <v>8</v>
      </c>
      <c r="C707" s="3">
        <v>26787.54</v>
      </c>
      <c r="D707" s="4">
        <v>80362.62</v>
      </c>
      <c r="E707" s="4">
        <v>26787.54</v>
      </c>
      <c r="F707" s="4">
        <v>91734.462</v>
      </c>
    </row>
    <row r="708" spans="1:6" x14ac:dyDescent="0.2">
      <c r="A708" s="3" t="s">
        <v>11</v>
      </c>
      <c r="B708" s="3" t="s">
        <v>8</v>
      </c>
      <c r="C708" s="3">
        <v>33335.910000000003</v>
      </c>
      <c r="D708" s="4">
        <v>100007.73</v>
      </c>
      <c r="E708" s="4">
        <v>33335.910000000003</v>
      </c>
      <c r="F708" s="4">
        <v>91734.462</v>
      </c>
    </row>
    <row r="709" spans="1:6" x14ac:dyDescent="0.2">
      <c r="A709" s="3" t="s">
        <v>12</v>
      </c>
      <c r="B709" s="3" t="s">
        <v>8</v>
      </c>
      <c r="C709" s="3">
        <v>29108.41</v>
      </c>
      <c r="D709" s="4">
        <v>87325.23</v>
      </c>
      <c r="E709" s="4">
        <v>29108.41</v>
      </c>
      <c r="F709" s="4">
        <v>91734.462</v>
      </c>
    </row>
    <row r="710" spans="1:6" x14ac:dyDescent="0.2">
      <c r="A710" s="3" t="s">
        <v>13</v>
      </c>
      <c r="B710" s="3" t="s">
        <v>8</v>
      </c>
      <c r="C710" s="3">
        <v>26903.81</v>
      </c>
      <c r="D710" s="4">
        <v>80711.430000000008</v>
      </c>
      <c r="E710" s="4">
        <v>26903.81</v>
      </c>
      <c r="F710" s="4">
        <v>91734.462</v>
      </c>
    </row>
    <row r="711" spans="1:6" x14ac:dyDescent="0.2">
      <c r="A711" s="3" t="s">
        <v>7</v>
      </c>
      <c r="B711" s="3" t="s">
        <v>19</v>
      </c>
      <c r="C711" s="3">
        <v>61541.36</v>
      </c>
      <c r="D711" s="4">
        <v>184624.08</v>
      </c>
      <c r="E711" s="4">
        <v>61541.36</v>
      </c>
      <c r="F711" s="4">
        <v>101747.052</v>
      </c>
    </row>
    <row r="712" spans="1:6" x14ac:dyDescent="0.2">
      <c r="A712" s="3" t="s">
        <v>9</v>
      </c>
      <c r="B712" s="3" t="s">
        <v>19</v>
      </c>
      <c r="C712" s="3">
        <v>76896.289999999994</v>
      </c>
      <c r="D712" s="4">
        <v>230688.87</v>
      </c>
      <c r="E712" s="4">
        <v>76896.289999999994</v>
      </c>
      <c r="F712" s="4">
        <v>101747.052</v>
      </c>
    </row>
    <row r="713" spans="1:6" x14ac:dyDescent="0.2">
      <c r="A713" s="3" t="s">
        <v>10</v>
      </c>
      <c r="B713" s="3" t="s">
        <v>19</v>
      </c>
      <c r="C713" s="3">
        <v>77397.66</v>
      </c>
      <c r="D713" s="4">
        <v>232192.98</v>
      </c>
      <c r="E713" s="4">
        <v>77397.66</v>
      </c>
      <c r="F713" s="4">
        <v>101747.052</v>
      </c>
    </row>
    <row r="714" spans="1:6" x14ac:dyDescent="0.2">
      <c r="A714" s="3" t="s">
        <v>11</v>
      </c>
      <c r="B714" s="3" t="s">
        <v>19</v>
      </c>
      <c r="C714" s="3">
        <v>58215.35</v>
      </c>
      <c r="D714" s="4">
        <v>174646.05</v>
      </c>
      <c r="E714" s="4">
        <v>58215.35</v>
      </c>
      <c r="F714" s="4">
        <v>101747.052</v>
      </c>
    </row>
    <row r="715" spans="1:6" x14ac:dyDescent="0.2">
      <c r="A715" s="3" t="s">
        <v>12</v>
      </c>
      <c r="B715" s="3" t="s">
        <v>19</v>
      </c>
      <c r="C715" s="3">
        <v>91636.33</v>
      </c>
      <c r="D715" s="4">
        <v>274908.99</v>
      </c>
      <c r="E715" s="4">
        <v>91636.33</v>
      </c>
      <c r="F715" s="4">
        <v>101747.052</v>
      </c>
    </row>
    <row r="716" spans="1:6" x14ac:dyDescent="0.2">
      <c r="A716" s="3" t="s">
        <v>13</v>
      </c>
      <c r="B716" s="3" t="s">
        <v>19</v>
      </c>
      <c r="C716" s="3">
        <v>79673.87</v>
      </c>
      <c r="D716" s="4">
        <v>239021.61</v>
      </c>
      <c r="E716" s="4">
        <v>79673.87</v>
      </c>
      <c r="F716" s="4">
        <v>101747.052</v>
      </c>
    </row>
    <row r="717" spans="1:6" x14ac:dyDescent="0.2">
      <c r="A717" s="3" t="s">
        <v>7</v>
      </c>
      <c r="B717" s="3" t="s">
        <v>15</v>
      </c>
      <c r="C717" s="3">
        <v>44881.1</v>
      </c>
      <c r="D717" s="4">
        <v>134643.29999999999</v>
      </c>
      <c r="E717" s="4">
        <v>44881.1</v>
      </c>
      <c r="F717" s="4">
        <v>95796.692999999999</v>
      </c>
    </row>
    <row r="718" spans="1:6" x14ac:dyDescent="0.2">
      <c r="A718" s="3" t="s">
        <v>9</v>
      </c>
      <c r="B718" s="3" t="s">
        <v>15</v>
      </c>
      <c r="C718" s="3">
        <v>44954.26</v>
      </c>
      <c r="D718" s="4">
        <v>134862.78</v>
      </c>
      <c r="E718" s="4">
        <v>44954.26</v>
      </c>
      <c r="F718" s="4">
        <v>95796.692999999999</v>
      </c>
    </row>
    <row r="719" spans="1:6" x14ac:dyDescent="0.2">
      <c r="A719" s="3" t="s">
        <v>10</v>
      </c>
      <c r="B719" s="3" t="s">
        <v>15</v>
      </c>
      <c r="C719" s="3">
        <v>45106.19</v>
      </c>
      <c r="D719" s="4">
        <v>135318.57</v>
      </c>
      <c r="E719" s="4">
        <v>45106.19</v>
      </c>
      <c r="F719" s="4">
        <v>95796.692999999999</v>
      </c>
    </row>
    <row r="720" spans="1:6" x14ac:dyDescent="0.2">
      <c r="A720" s="3" t="s">
        <v>11</v>
      </c>
      <c r="B720" s="3" t="s">
        <v>15</v>
      </c>
      <c r="C720" s="3">
        <v>67119.34</v>
      </c>
      <c r="D720" s="4">
        <v>201358.02</v>
      </c>
      <c r="E720" s="4">
        <v>67119.34</v>
      </c>
      <c r="F720" s="4">
        <v>95796.692999999999</v>
      </c>
    </row>
    <row r="721" spans="1:6" x14ac:dyDescent="0.2">
      <c r="A721" s="3" t="s">
        <v>12</v>
      </c>
      <c r="B721" s="3" t="s">
        <v>15</v>
      </c>
      <c r="C721" s="3">
        <v>53617</v>
      </c>
      <c r="D721" s="4">
        <v>160851</v>
      </c>
      <c r="E721" s="4">
        <v>53617</v>
      </c>
      <c r="F721" s="4">
        <v>95796.692999999999</v>
      </c>
    </row>
    <row r="722" spans="1:6" x14ac:dyDescent="0.2">
      <c r="A722" s="3" t="s">
        <v>13</v>
      </c>
      <c r="B722" s="3" t="s">
        <v>15</v>
      </c>
      <c r="C722" s="3">
        <v>60371.91</v>
      </c>
      <c r="D722" s="4">
        <v>181115.73</v>
      </c>
      <c r="E722" s="4">
        <v>60371.91</v>
      </c>
      <c r="F722" s="4">
        <v>95796.692999999999</v>
      </c>
    </row>
    <row r="723" spans="1:6" x14ac:dyDescent="0.2">
      <c r="A723" s="3" t="s">
        <v>7</v>
      </c>
      <c r="B723" s="3" t="s">
        <v>20</v>
      </c>
      <c r="C723" s="3">
        <v>72853.5</v>
      </c>
      <c r="D723" s="4">
        <v>218560.5</v>
      </c>
      <c r="E723" s="4">
        <v>72853.5</v>
      </c>
      <c r="F723" s="4">
        <v>92182.01400000001</v>
      </c>
    </row>
    <row r="724" spans="1:6" x14ac:dyDescent="0.2">
      <c r="A724" s="3" t="s">
        <v>9</v>
      </c>
      <c r="B724" s="3" t="s">
        <v>20</v>
      </c>
      <c r="C724" s="3">
        <v>47445.69</v>
      </c>
      <c r="D724" s="4">
        <v>142337.07</v>
      </c>
      <c r="E724" s="4">
        <v>47445.69</v>
      </c>
      <c r="F724" s="4">
        <v>92182.01400000001</v>
      </c>
    </row>
    <row r="725" spans="1:6" x14ac:dyDescent="0.2">
      <c r="A725" s="3" t="s">
        <v>10</v>
      </c>
      <c r="B725" s="3" t="s">
        <v>20</v>
      </c>
      <c r="C725" s="3">
        <v>67591.5</v>
      </c>
      <c r="D725" s="4">
        <v>202774.5</v>
      </c>
      <c r="E725" s="4">
        <v>67591.5</v>
      </c>
      <c r="F725" s="4">
        <v>92182.01400000001</v>
      </c>
    </row>
    <row r="726" spans="1:6" x14ac:dyDescent="0.2">
      <c r="A726" s="3" t="s">
        <v>11</v>
      </c>
      <c r="B726" s="3" t="s">
        <v>20</v>
      </c>
      <c r="C726" s="3">
        <v>59866.559999999998</v>
      </c>
      <c r="D726" s="4">
        <v>179599.68</v>
      </c>
      <c r="E726" s="4">
        <v>59866.559999999998</v>
      </c>
      <c r="F726" s="4">
        <v>92182.01400000001</v>
      </c>
    </row>
    <row r="727" spans="1:6" x14ac:dyDescent="0.2">
      <c r="A727" s="3" t="s">
        <v>12</v>
      </c>
      <c r="B727" s="3" t="s">
        <v>20</v>
      </c>
      <c r="C727" s="3">
        <v>71589.05</v>
      </c>
      <c r="D727" s="4">
        <v>214767.15</v>
      </c>
      <c r="E727" s="4">
        <v>71589.05</v>
      </c>
      <c r="F727" s="4">
        <v>92182.01400000001</v>
      </c>
    </row>
    <row r="728" spans="1:6" x14ac:dyDescent="0.2">
      <c r="A728" s="3" t="s">
        <v>13</v>
      </c>
      <c r="B728" s="3" t="s">
        <v>20</v>
      </c>
      <c r="C728" s="3">
        <v>58804.05</v>
      </c>
      <c r="D728" s="4">
        <v>176412.15</v>
      </c>
      <c r="E728" s="4">
        <v>58804.05</v>
      </c>
      <c r="F728" s="4">
        <v>92182.01400000001</v>
      </c>
    </row>
    <row r="729" spans="1:6" x14ac:dyDescent="0.2">
      <c r="A729" s="3" t="s">
        <v>7</v>
      </c>
      <c r="B729" s="3" t="s">
        <v>20</v>
      </c>
      <c r="C729" s="3">
        <v>41708.839999999997</v>
      </c>
      <c r="D729" s="4">
        <v>125126.52</v>
      </c>
      <c r="E729" s="4">
        <v>41708.839999999997</v>
      </c>
      <c r="F729" s="4">
        <v>92182.01400000001</v>
      </c>
    </row>
    <row r="730" spans="1:6" x14ac:dyDescent="0.2">
      <c r="A730" s="3" t="s">
        <v>9</v>
      </c>
      <c r="B730" s="3" t="s">
        <v>20</v>
      </c>
      <c r="C730" s="3">
        <v>46672.31</v>
      </c>
      <c r="D730" s="4">
        <v>140016.93</v>
      </c>
      <c r="E730" s="4">
        <v>46672.31</v>
      </c>
      <c r="F730" s="4">
        <v>92182.01400000001</v>
      </c>
    </row>
    <row r="731" spans="1:6" x14ac:dyDescent="0.2">
      <c r="A731" s="3" t="s">
        <v>10</v>
      </c>
      <c r="B731" s="3" t="s">
        <v>20</v>
      </c>
      <c r="C731" s="3">
        <v>51987.24</v>
      </c>
      <c r="D731" s="4">
        <v>155961.72</v>
      </c>
      <c r="E731" s="4">
        <v>51987.24</v>
      </c>
      <c r="F731" s="4">
        <v>92182.01400000001</v>
      </c>
    </row>
    <row r="732" spans="1:6" x14ac:dyDescent="0.2">
      <c r="A732" s="3" t="s">
        <v>11</v>
      </c>
      <c r="B732" s="3" t="s">
        <v>20</v>
      </c>
      <c r="C732" s="3">
        <v>54448.82</v>
      </c>
      <c r="D732" s="4">
        <v>163346.46</v>
      </c>
      <c r="E732" s="4">
        <v>54448.82</v>
      </c>
      <c r="F732" s="4">
        <v>92182.01400000001</v>
      </c>
    </row>
    <row r="733" spans="1:6" x14ac:dyDescent="0.2">
      <c r="A733" s="3" t="s">
        <v>12</v>
      </c>
      <c r="B733" s="3" t="s">
        <v>20</v>
      </c>
      <c r="C733" s="3">
        <v>58362.400000000001</v>
      </c>
      <c r="D733" s="4">
        <v>175087.2</v>
      </c>
      <c r="E733" s="4">
        <v>58362.400000000001</v>
      </c>
      <c r="F733" s="4">
        <v>92182.01400000001</v>
      </c>
    </row>
    <row r="734" spans="1:6" x14ac:dyDescent="0.2">
      <c r="A734" s="3" t="s">
        <v>13</v>
      </c>
      <c r="B734" s="3" t="s">
        <v>20</v>
      </c>
      <c r="C734" s="3">
        <v>48102.02</v>
      </c>
      <c r="D734" s="4">
        <v>144306.06</v>
      </c>
      <c r="E734" s="4">
        <v>48102.02</v>
      </c>
      <c r="F734" s="4">
        <v>92182.01400000001</v>
      </c>
    </row>
    <row r="735" spans="1:6" x14ac:dyDescent="0.2">
      <c r="A735" s="3" t="s">
        <v>7</v>
      </c>
      <c r="B735" s="3" t="s">
        <v>18</v>
      </c>
      <c r="C735" s="3">
        <v>69003.679999999993</v>
      </c>
      <c r="D735" s="4">
        <v>207011.04</v>
      </c>
      <c r="E735" s="4">
        <v>69003.679999999993</v>
      </c>
      <c r="F735" s="4">
        <v>99634.98599999999</v>
      </c>
    </row>
    <row r="736" spans="1:6" x14ac:dyDescent="0.2">
      <c r="A736" s="3" t="s">
        <v>9</v>
      </c>
      <c r="B736" s="3" t="s">
        <v>18</v>
      </c>
      <c r="C736" s="3">
        <v>54525.87</v>
      </c>
      <c r="D736" s="4">
        <v>163577.60999999999</v>
      </c>
      <c r="E736" s="4">
        <v>54525.87</v>
      </c>
      <c r="F736" s="4">
        <v>99634.98599999999</v>
      </c>
    </row>
    <row r="737" spans="1:6" x14ac:dyDescent="0.2">
      <c r="A737" s="3" t="s">
        <v>10</v>
      </c>
      <c r="B737" s="3" t="s">
        <v>18</v>
      </c>
      <c r="C737" s="3">
        <v>67204.98</v>
      </c>
      <c r="D737" s="4">
        <v>201614.94</v>
      </c>
      <c r="E737" s="4">
        <v>67204.98</v>
      </c>
      <c r="F737" s="4">
        <v>99634.98599999999</v>
      </c>
    </row>
    <row r="738" spans="1:6" x14ac:dyDescent="0.2">
      <c r="A738" s="3" t="s">
        <v>11</v>
      </c>
      <c r="B738" s="3" t="s">
        <v>18</v>
      </c>
      <c r="C738" s="3">
        <v>72720.02</v>
      </c>
      <c r="D738" s="4">
        <v>218160.06</v>
      </c>
      <c r="E738" s="4">
        <v>72720.02</v>
      </c>
      <c r="F738" s="4">
        <v>99634.98599999999</v>
      </c>
    </row>
    <row r="739" spans="1:6" x14ac:dyDescent="0.2">
      <c r="A739" s="3" t="s">
        <v>12</v>
      </c>
      <c r="B739" s="3" t="s">
        <v>18</v>
      </c>
      <c r="C739" s="3">
        <v>74794.66</v>
      </c>
      <c r="D739" s="4">
        <v>224383.98</v>
      </c>
      <c r="E739" s="4">
        <v>74794.66</v>
      </c>
      <c r="F739" s="4">
        <v>99634.98599999999</v>
      </c>
    </row>
    <row r="740" spans="1:6" x14ac:dyDescent="0.2">
      <c r="A740" s="3" t="s">
        <v>13</v>
      </c>
      <c r="B740" s="3" t="s">
        <v>18</v>
      </c>
      <c r="C740" s="3">
        <v>79127.81</v>
      </c>
      <c r="D740" s="4">
        <v>237383.43</v>
      </c>
      <c r="E740" s="4">
        <v>79127.81</v>
      </c>
      <c r="F740" s="4">
        <v>99634.98599999999</v>
      </c>
    </row>
    <row r="741" spans="1:6" x14ac:dyDescent="0.2">
      <c r="A741" s="3" t="s">
        <v>7</v>
      </c>
      <c r="B741" s="3" t="s">
        <v>17</v>
      </c>
      <c r="C741" s="3">
        <v>58025.61</v>
      </c>
      <c r="D741" s="4">
        <v>174076.83</v>
      </c>
      <c r="E741" s="4">
        <v>58025.61</v>
      </c>
      <c r="F741" s="4">
        <v>83740.842000000004</v>
      </c>
    </row>
    <row r="742" spans="1:6" x14ac:dyDescent="0.2">
      <c r="A742" s="3" t="s">
        <v>9</v>
      </c>
      <c r="B742" s="3" t="s">
        <v>17</v>
      </c>
      <c r="C742" s="3">
        <v>51635.02</v>
      </c>
      <c r="D742" s="4">
        <v>154905.06</v>
      </c>
      <c r="E742" s="4">
        <v>51635.02</v>
      </c>
      <c r="F742" s="4">
        <v>83740.842000000004</v>
      </c>
    </row>
    <row r="743" spans="1:6" x14ac:dyDescent="0.2">
      <c r="A743" s="3" t="s">
        <v>10</v>
      </c>
      <c r="B743" s="3" t="s">
        <v>17</v>
      </c>
      <c r="C743" s="3">
        <v>59319</v>
      </c>
      <c r="D743" s="4">
        <v>177957</v>
      </c>
      <c r="E743" s="4">
        <v>59319</v>
      </c>
      <c r="F743" s="4">
        <v>83740.842000000004</v>
      </c>
    </row>
    <row r="744" spans="1:6" x14ac:dyDescent="0.2">
      <c r="A744" s="3" t="s">
        <v>11</v>
      </c>
      <c r="B744" s="3" t="s">
        <v>17</v>
      </c>
      <c r="C744" s="3">
        <v>61874.65</v>
      </c>
      <c r="D744" s="4">
        <v>185623.95</v>
      </c>
      <c r="E744" s="4">
        <v>61874.65</v>
      </c>
      <c r="F744" s="4">
        <v>83740.842000000004</v>
      </c>
    </row>
    <row r="745" spans="1:6" x14ac:dyDescent="0.2">
      <c r="A745" s="3" t="s">
        <v>12</v>
      </c>
      <c r="B745" s="3" t="s">
        <v>17</v>
      </c>
      <c r="C745" s="3">
        <v>67482.39</v>
      </c>
      <c r="D745" s="4">
        <v>202447.17</v>
      </c>
      <c r="E745" s="4">
        <v>67482.39</v>
      </c>
      <c r="F745" s="4">
        <v>83740.842000000004</v>
      </c>
    </row>
    <row r="746" spans="1:6" x14ac:dyDescent="0.2">
      <c r="A746" s="3" t="s">
        <v>13</v>
      </c>
      <c r="B746" s="3" t="s">
        <v>17</v>
      </c>
      <c r="C746" s="3">
        <v>51145.34</v>
      </c>
      <c r="D746" s="4">
        <v>153436.01999999999</v>
      </c>
      <c r="E746" s="4">
        <v>51145.34</v>
      </c>
      <c r="F746" s="4">
        <v>83740.842000000004</v>
      </c>
    </row>
    <row r="747" spans="1:6" x14ac:dyDescent="0.2">
      <c r="A747" s="3" t="s">
        <v>7</v>
      </c>
      <c r="B747" s="3" t="s">
        <v>19</v>
      </c>
      <c r="C747" s="3">
        <v>47818.86</v>
      </c>
      <c r="D747" s="4">
        <v>143456.57999999999</v>
      </c>
      <c r="E747" s="4">
        <v>47818.86</v>
      </c>
      <c r="F747" s="4">
        <v>101747.052</v>
      </c>
    </row>
    <row r="748" spans="1:6" x14ac:dyDescent="0.2">
      <c r="A748" s="3" t="s">
        <v>9</v>
      </c>
      <c r="B748" s="3" t="s">
        <v>19</v>
      </c>
      <c r="C748" s="3">
        <v>43906.11</v>
      </c>
      <c r="D748" s="4">
        <v>131718.32999999999</v>
      </c>
      <c r="E748" s="4">
        <v>43906.11</v>
      </c>
      <c r="F748" s="4">
        <v>101747.052</v>
      </c>
    </row>
    <row r="749" spans="1:6" x14ac:dyDescent="0.2">
      <c r="A749" s="3" t="s">
        <v>10</v>
      </c>
      <c r="B749" s="3" t="s">
        <v>19</v>
      </c>
      <c r="C749" s="3">
        <v>58931.54</v>
      </c>
      <c r="D749" s="4">
        <v>176794.62</v>
      </c>
      <c r="E749" s="4">
        <v>58931.54</v>
      </c>
      <c r="F749" s="4">
        <v>101747.052</v>
      </c>
    </row>
    <row r="750" spans="1:6" x14ac:dyDescent="0.2">
      <c r="A750" s="3" t="s">
        <v>11</v>
      </c>
      <c r="B750" s="3" t="s">
        <v>19</v>
      </c>
      <c r="C750" s="3">
        <v>61246.9</v>
      </c>
      <c r="D750" s="4">
        <v>183740.7</v>
      </c>
      <c r="E750" s="4">
        <v>61246.9</v>
      </c>
      <c r="F750" s="4">
        <v>101747.052</v>
      </c>
    </row>
    <row r="751" spans="1:6" x14ac:dyDescent="0.2">
      <c r="A751" s="3" t="s">
        <v>12</v>
      </c>
      <c r="B751" s="3" t="s">
        <v>19</v>
      </c>
      <c r="C751" s="3">
        <v>47551.38</v>
      </c>
      <c r="D751" s="4">
        <v>142654.14000000001</v>
      </c>
      <c r="E751" s="4">
        <v>47551.38</v>
      </c>
      <c r="F751" s="4">
        <v>101747.052</v>
      </c>
    </row>
    <row r="752" spans="1:6" x14ac:dyDescent="0.2">
      <c r="A752" s="3" t="s">
        <v>13</v>
      </c>
      <c r="B752" s="3" t="s">
        <v>19</v>
      </c>
      <c r="C752" s="3">
        <v>42782.22</v>
      </c>
      <c r="D752" s="4">
        <v>128346.66</v>
      </c>
      <c r="E752" s="4">
        <v>42782.22</v>
      </c>
      <c r="F752" s="4">
        <v>101747.052</v>
      </c>
    </row>
    <row r="753" spans="1:6" x14ac:dyDescent="0.2">
      <c r="A753" s="3" t="s">
        <v>7</v>
      </c>
      <c r="B753" s="3" t="s">
        <v>15</v>
      </c>
      <c r="C753" s="3">
        <v>54930.34</v>
      </c>
      <c r="D753" s="4">
        <v>164791.01999999999</v>
      </c>
      <c r="E753" s="4">
        <v>54930.34</v>
      </c>
      <c r="F753" s="4">
        <v>95796.692999999999</v>
      </c>
    </row>
    <row r="754" spans="1:6" x14ac:dyDescent="0.2">
      <c r="A754" s="3" t="s">
        <v>9</v>
      </c>
      <c r="B754" s="3" t="s">
        <v>15</v>
      </c>
      <c r="C754" s="3">
        <v>59024.55</v>
      </c>
      <c r="D754" s="4">
        <v>177073.65</v>
      </c>
      <c r="E754" s="4">
        <v>59024.55</v>
      </c>
      <c r="F754" s="4">
        <v>95796.692999999999</v>
      </c>
    </row>
    <row r="755" spans="1:6" x14ac:dyDescent="0.2">
      <c r="A755" s="3" t="s">
        <v>10</v>
      </c>
      <c r="B755" s="3" t="s">
        <v>15</v>
      </c>
      <c r="C755" s="3">
        <v>57815.13</v>
      </c>
      <c r="D755" s="4">
        <v>173445.39</v>
      </c>
      <c r="E755" s="4">
        <v>57815.13</v>
      </c>
      <c r="F755" s="4">
        <v>95796.692999999999</v>
      </c>
    </row>
    <row r="756" spans="1:6" x14ac:dyDescent="0.2">
      <c r="A756" s="3" t="s">
        <v>11</v>
      </c>
      <c r="B756" s="3" t="s">
        <v>15</v>
      </c>
      <c r="C756" s="3">
        <v>62581.91</v>
      </c>
      <c r="D756" s="4">
        <v>187745.73</v>
      </c>
      <c r="E756" s="4">
        <v>62581.91</v>
      </c>
      <c r="F756" s="4">
        <v>95796.692999999999</v>
      </c>
    </row>
    <row r="757" spans="1:6" x14ac:dyDescent="0.2">
      <c r="A757" s="3" t="s">
        <v>12</v>
      </c>
      <c r="B757" s="3" t="s">
        <v>15</v>
      </c>
      <c r="C757" s="3">
        <v>64399.18</v>
      </c>
      <c r="D757" s="4">
        <v>193197.54</v>
      </c>
      <c r="E757" s="4">
        <v>64399.18</v>
      </c>
      <c r="F757" s="4">
        <v>95796.692999999999</v>
      </c>
    </row>
    <row r="758" spans="1:6" x14ac:dyDescent="0.2">
      <c r="A758" s="3" t="s">
        <v>13</v>
      </c>
      <c r="B758" s="3" t="s">
        <v>15</v>
      </c>
      <c r="C758" s="3">
        <v>80370.600000000006</v>
      </c>
      <c r="D758" s="4">
        <v>241111.8</v>
      </c>
      <c r="E758" s="4">
        <v>80370.600000000006</v>
      </c>
      <c r="F758" s="4">
        <v>95796.692999999999</v>
      </c>
    </row>
    <row r="759" spans="1:6" x14ac:dyDescent="0.2">
      <c r="A759" s="3" t="s">
        <v>7</v>
      </c>
      <c r="B759" s="3" t="s">
        <v>16</v>
      </c>
      <c r="C759" s="3">
        <v>39654.79</v>
      </c>
      <c r="D759" s="4">
        <v>118964.37</v>
      </c>
      <c r="E759" s="4">
        <v>39654.79</v>
      </c>
      <c r="F759" s="4">
        <v>94304.313000000009</v>
      </c>
    </row>
    <row r="760" spans="1:6" x14ac:dyDescent="0.2">
      <c r="A760" s="3" t="s">
        <v>9</v>
      </c>
      <c r="B760" s="3" t="s">
        <v>16</v>
      </c>
      <c r="C760" s="3">
        <v>38538.800000000003</v>
      </c>
      <c r="D760" s="4">
        <v>115616.4</v>
      </c>
      <c r="E760" s="4">
        <v>38538.800000000003</v>
      </c>
      <c r="F760" s="4">
        <v>94304.313000000009</v>
      </c>
    </row>
    <row r="761" spans="1:6" x14ac:dyDescent="0.2">
      <c r="A761" s="3" t="s">
        <v>10</v>
      </c>
      <c r="B761" s="3" t="s">
        <v>16</v>
      </c>
      <c r="C761" s="3">
        <v>36453.440000000002</v>
      </c>
      <c r="D761" s="4">
        <v>109360.32000000001</v>
      </c>
      <c r="E761" s="4">
        <v>36453.440000000002</v>
      </c>
      <c r="F761" s="4">
        <v>94304.313000000009</v>
      </c>
    </row>
    <row r="762" spans="1:6" x14ac:dyDescent="0.2">
      <c r="A762" s="3" t="s">
        <v>11</v>
      </c>
      <c r="B762" s="3" t="s">
        <v>16</v>
      </c>
      <c r="C762" s="3">
        <v>42786.18</v>
      </c>
      <c r="D762" s="4">
        <v>128358.54</v>
      </c>
      <c r="E762" s="4">
        <v>42786.18</v>
      </c>
      <c r="F762" s="4">
        <v>94304.313000000009</v>
      </c>
    </row>
    <row r="763" spans="1:6" x14ac:dyDescent="0.2">
      <c r="A763" s="3" t="s">
        <v>12</v>
      </c>
      <c r="B763" s="3" t="s">
        <v>16</v>
      </c>
      <c r="C763" s="3">
        <v>43424.26</v>
      </c>
      <c r="D763" s="4">
        <v>130272.78</v>
      </c>
      <c r="E763" s="4">
        <v>43424.26</v>
      </c>
      <c r="F763" s="4">
        <v>94304.313000000009</v>
      </c>
    </row>
    <row r="764" spans="1:6" x14ac:dyDescent="0.2">
      <c r="A764" s="3" t="s">
        <v>13</v>
      </c>
      <c r="B764" s="3" t="s">
        <v>16</v>
      </c>
      <c r="C764" s="3">
        <v>40733.660000000003</v>
      </c>
      <c r="D764" s="4">
        <v>122200.98</v>
      </c>
      <c r="E764" s="4">
        <v>40733.660000000003</v>
      </c>
      <c r="F764" s="4">
        <v>94304.313000000009</v>
      </c>
    </row>
    <row r="765" spans="1:6" x14ac:dyDescent="0.2">
      <c r="A765" s="3" t="s">
        <v>7</v>
      </c>
      <c r="B765" s="3" t="s">
        <v>17</v>
      </c>
      <c r="C765" s="3">
        <v>34049.69</v>
      </c>
      <c r="D765" s="4">
        <v>102149.07</v>
      </c>
      <c r="E765" s="4">
        <v>34049.69</v>
      </c>
      <c r="F765" s="4">
        <v>83740.842000000004</v>
      </c>
    </row>
    <row r="766" spans="1:6" x14ac:dyDescent="0.2">
      <c r="A766" s="3" t="s">
        <v>9</v>
      </c>
      <c r="B766" s="3" t="s">
        <v>17</v>
      </c>
      <c r="C766" s="3">
        <v>31838.23</v>
      </c>
      <c r="D766" s="4">
        <v>95514.69</v>
      </c>
      <c r="E766" s="4">
        <v>31838.23</v>
      </c>
      <c r="F766" s="4">
        <v>83740.842000000004</v>
      </c>
    </row>
    <row r="767" spans="1:6" x14ac:dyDescent="0.2">
      <c r="A767" s="3" t="s">
        <v>10</v>
      </c>
      <c r="B767" s="3" t="s">
        <v>17</v>
      </c>
      <c r="C767" s="3">
        <v>34808.57</v>
      </c>
      <c r="D767" s="4">
        <v>104425.71</v>
      </c>
      <c r="E767" s="4">
        <v>34808.57</v>
      </c>
      <c r="F767" s="4">
        <v>83740.842000000004</v>
      </c>
    </row>
    <row r="768" spans="1:6" x14ac:dyDescent="0.2">
      <c r="A768" s="3" t="s">
        <v>11</v>
      </c>
      <c r="B768" s="3" t="s">
        <v>17</v>
      </c>
      <c r="C768" s="3">
        <v>26600.9</v>
      </c>
      <c r="D768" s="4">
        <v>79802.700000000012</v>
      </c>
      <c r="E768" s="4">
        <v>26600.9</v>
      </c>
      <c r="F768" s="4">
        <v>83740.842000000004</v>
      </c>
    </row>
    <row r="769" spans="1:6" x14ac:dyDescent="0.2">
      <c r="A769" s="3" t="s">
        <v>12</v>
      </c>
      <c r="B769" s="3" t="s">
        <v>17</v>
      </c>
      <c r="C769" s="3">
        <v>40889.870000000003</v>
      </c>
      <c r="D769" s="4">
        <v>122669.61</v>
      </c>
      <c r="E769" s="4">
        <v>40889.870000000003</v>
      </c>
      <c r="F769" s="4">
        <v>83740.842000000004</v>
      </c>
    </row>
    <row r="770" spans="1:6" x14ac:dyDescent="0.2">
      <c r="A770" s="3" t="s">
        <v>13</v>
      </c>
      <c r="B770" s="3" t="s">
        <v>17</v>
      </c>
      <c r="C770" s="3">
        <v>32368.11</v>
      </c>
      <c r="D770" s="4">
        <v>97104.33</v>
      </c>
      <c r="E770" s="4">
        <v>32368.11</v>
      </c>
      <c r="F770" s="4">
        <v>83740.842000000004</v>
      </c>
    </row>
    <row r="771" spans="1:6" x14ac:dyDescent="0.2">
      <c r="A771" s="3" t="s">
        <v>7</v>
      </c>
      <c r="B771" s="3" t="s">
        <v>16</v>
      </c>
      <c r="C771" s="3">
        <v>80859.45</v>
      </c>
      <c r="D771" s="4">
        <v>242578.35</v>
      </c>
      <c r="E771" s="4">
        <v>80859.45</v>
      </c>
      <c r="F771" s="4">
        <v>94304.313000000009</v>
      </c>
    </row>
    <row r="772" spans="1:6" x14ac:dyDescent="0.2">
      <c r="A772" s="3" t="s">
        <v>9</v>
      </c>
      <c r="B772" s="3" t="s">
        <v>16</v>
      </c>
      <c r="C772" s="3">
        <v>85291.59</v>
      </c>
      <c r="D772" s="4">
        <v>255874.77</v>
      </c>
      <c r="E772" s="4">
        <v>85291.59</v>
      </c>
      <c r="F772" s="4">
        <v>94304.313000000009</v>
      </c>
    </row>
    <row r="773" spans="1:6" x14ac:dyDescent="0.2">
      <c r="A773" s="3" t="s">
        <v>10</v>
      </c>
      <c r="B773" s="3" t="s">
        <v>16</v>
      </c>
      <c r="C773" s="3">
        <v>53507.74</v>
      </c>
      <c r="D773" s="4">
        <v>160523.22</v>
      </c>
      <c r="E773" s="4">
        <v>53507.74</v>
      </c>
      <c r="F773" s="4">
        <v>94304.313000000009</v>
      </c>
    </row>
    <row r="774" spans="1:6" x14ac:dyDescent="0.2">
      <c r="A774" s="3" t="s">
        <v>11</v>
      </c>
      <c r="B774" s="3" t="s">
        <v>16</v>
      </c>
      <c r="C774" s="3">
        <v>83386.81</v>
      </c>
      <c r="D774" s="4">
        <v>250160.43</v>
      </c>
      <c r="E774" s="4">
        <v>83386.81</v>
      </c>
      <c r="F774" s="4">
        <v>94304.313000000009</v>
      </c>
    </row>
    <row r="775" spans="1:6" x14ac:dyDescent="0.2">
      <c r="A775" s="3" t="s">
        <v>12</v>
      </c>
      <c r="B775" s="3" t="s">
        <v>16</v>
      </c>
      <c r="C775" s="3">
        <v>78891.3</v>
      </c>
      <c r="D775" s="4">
        <v>236673.9</v>
      </c>
      <c r="E775" s="4">
        <v>78891.3</v>
      </c>
      <c r="F775" s="4">
        <v>94304.313000000009</v>
      </c>
    </row>
    <row r="776" spans="1:6" x14ac:dyDescent="0.2">
      <c r="A776" s="3" t="s">
        <v>13</v>
      </c>
      <c r="B776" s="3" t="s">
        <v>16</v>
      </c>
      <c r="C776" s="3">
        <v>82094.570000000007</v>
      </c>
      <c r="D776" s="4">
        <v>246283.71</v>
      </c>
      <c r="E776" s="4">
        <v>82094.570000000007</v>
      </c>
      <c r="F776" s="4">
        <v>94304.313000000009</v>
      </c>
    </row>
    <row r="777" spans="1:6" x14ac:dyDescent="0.2">
      <c r="A777" s="3" t="s">
        <v>7</v>
      </c>
      <c r="B777" s="3" t="s">
        <v>18</v>
      </c>
      <c r="C777" s="3">
        <v>35838.29</v>
      </c>
      <c r="D777" s="4">
        <v>107514.87</v>
      </c>
      <c r="E777" s="4">
        <v>35838.29</v>
      </c>
      <c r="F777" s="4">
        <v>99634.98599999999</v>
      </c>
    </row>
    <row r="778" spans="1:6" x14ac:dyDescent="0.2">
      <c r="A778" s="3" t="s">
        <v>9</v>
      </c>
      <c r="B778" s="3" t="s">
        <v>18</v>
      </c>
      <c r="C778" s="3">
        <v>54176.05</v>
      </c>
      <c r="D778" s="4">
        <v>162528.15</v>
      </c>
      <c r="E778" s="4">
        <v>54176.05</v>
      </c>
      <c r="F778" s="4">
        <v>99634.98599999999</v>
      </c>
    </row>
    <row r="779" spans="1:6" x14ac:dyDescent="0.2">
      <c r="A779" s="3" t="s">
        <v>10</v>
      </c>
      <c r="B779" s="3" t="s">
        <v>18</v>
      </c>
      <c r="C779" s="3">
        <v>52800.62</v>
      </c>
      <c r="D779" s="4">
        <v>158401.85999999999</v>
      </c>
      <c r="E779" s="4">
        <v>52800.62</v>
      </c>
      <c r="F779" s="4">
        <v>99634.98599999999</v>
      </c>
    </row>
    <row r="780" spans="1:6" x14ac:dyDescent="0.2">
      <c r="A780" s="3" t="s">
        <v>11</v>
      </c>
      <c r="B780" s="3" t="s">
        <v>18</v>
      </c>
      <c r="C780" s="3">
        <v>53163.15</v>
      </c>
      <c r="D780" s="4">
        <v>159489.45000000001</v>
      </c>
      <c r="E780" s="4">
        <v>53163.15</v>
      </c>
      <c r="F780" s="4">
        <v>99634.98599999999</v>
      </c>
    </row>
    <row r="781" spans="1:6" x14ac:dyDescent="0.2">
      <c r="A781" s="3" t="s">
        <v>12</v>
      </c>
      <c r="B781" s="3" t="s">
        <v>18</v>
      </c>
      <c r="C781" s="3">
        <v>42651.89</v>
      </c>
      <c r="D781" s="4">
        <v>127955.67</v>
      </c>
      <c r="E781" s="4">
        <v>42651.89</v>
      </c>
      <c r="F781" s="4">
        <v>99634.98599999999</v>
      </c>
    </row>
    <row r="782" spans="1:6" x14ac:dyDescent="0.2">
      <c r="A782" s="3" t="s">
        <v>13</v>
      </c>
      <c r="B782" s="3" t="s">
        <v>18</v>
      </c>
      <c r="C782" s="3">
        <v>45778.7</v>
      </c>
      <c r="D782" s="4">
        <v>137336.1</v>
      </c>
      <c r="E782" s="4">
        <v>45778.7</v>
      </c>
      <c r="F782" s="4">
        <v>99634.98599999999</v>
      </c>
    </row>
    <row r="783" spans="1:6" x14ac:dyDescent="0.2">
      <c r="A783" s="3" t="s">
        <v>7</v>
      </c>
      <c r="B783" s="3" t="s">
        <v>21</v>
      </c>
      <c r="C783" s="3">
        <v>60921.63</v>
      </c>
      <c r="D783" s="4">
        <v>182764.89</v>
      </c>
      <c r="E783" s="4">
        <v>60921.63</v>
      </c>
      <c r="F783" s="4">
        <v>100474.88400000001</v>
      </c>
    </row>
    <row r="784" spans="1:6" x14ac:dyDescent="0.2">
      <c r="A784" s="3" t="s">
        <v>9</v>
      </c>
      <c r="B784" s="3" t="s">
        <v>21</v>
      </c>
      <c r="C784" s="3">
        <v>52739.58</v>
      </c>
      <c r="D784" s="4">
        <v>158218.74</v>
      </c>
      <c r="E784" s="4">
        <v>52739.58</v>
      </c>
      <c r="F784" s="4">
        <v>100474.88400000001</v>
      </c>
    </row>
    <row r="785" spans="1:6" x14ac:dyDescent="0.2">
      <c r="A785" s="3" t="s">
        <v>10</v>
      </c>
      <c r="B785" s="3" t="s">
        <v>21</v>
      </c>
      <c r="C785" s="3">
        <v>58694.3</v>
      </c>
      <c r="D785" s="4">
        <v>176082.9</v>
      </c>
      <c r="E785" s="4">
        <v>58694.3</v>
      </c>
      <c r="F785" s="4">
        <v>100474.88400000001</v>
      </c>
    </row>
    <row r="786" spans="1:6" x14ac:dyDescent="0.2">
      <c r="A786" s="3" t="s">
        <v>11</v>
      </c>
      <c r="B786" s="3" t="s">
        <v>21</v>
      </c>
      <c r="C786" s="3">
        <v>71563.41</v>
      </c>
      <c r="D786" s="4">
        <v>214690.23</v>
      </c>
      <c r="E786" s="4">
        <v>71563.41</v>
      </c>
      <c r="F786" s="4">
        <v>100474.88400000001</v>
      </c>
    </row>
    <row r="787" spans="1:6" x14ac:dyDescent="0.2">
      <c r="A787" s="3" t="s">
        <v>12</v>
      </c>
      <c r="B787" s="3" t="s">
        <v>21</v>
      </c>
      <c r="C787" s="3">
        <v>57019.33</v>
      </c>
      <c r="D787" s="4">
        <v>171057.99</v>
      </c>
      <c r="E787" s="4">
        <v>57019.33</v>
      </c>
      <c r="F787" s="4">
        <v>100474.88400000001</v>
      </c>
    </row>
    <row r="788" spans="1:6" x14ac:dyDescent="0.2">
      <c r="A788" s="3" t="s">
        <v>13</v>
      </c>
      <c r="B788" s="3" t="s">
        <v>21</v>
      </c>
      <c r="C788" s="3">
        <v>73910.240000000005</v>
      </c>
      <c r="D788" s="4">
        <v>221730.72</v>
      </c>
      <c r="E788" s="4">
        <v>73910.240000000005</v>
      </c>
      <c r="F788" s="4">
        <v>100474.88400000001</v>
      </c>
    </row>
    <row r="789" spans="1:6" x14ac:dyDescent="0.2">
      <c r="A789" s="3" t="s">
        <v>7</v>
      </c>
      <c r="B789" s="3" t="s">
        <v>18</v>
      </c>
      <c r="C789" s="3">
        <v>69663.72</v>
      </c>
      <c r="D789" s="4">
        <v>208991.16</v>
      </c>
      <c r="E789" s="4">
        <v>69663.72</v>
      </c>
      <c r="F789" s="4">
        <v>99634.98599999999</v>
      </c>
    </row>
    <row r="790" spans="1:6" x14ac:dyDescent="0.2">
      <c r="A790" s="3" t="s">
        <v>9</v>
      </c>
      <c r="B790" s="3" t="s">
        <v>18</v>
      </c>
      <c r="C790" s="3">
        <v>63958.67</v>
      </c>
      <c r="D790" s="4">
        <v>191876.01</v>
      </c>
      <c r="E790" s="4">
        <v>63958.67</v>
      </c>
      <c r="F790" s="4">
        <v>99634.98599999999</v>
      </c>
    </row>
    <row r="791" spans="1:6" x14ac:dyDescent="0.2">
      <c r="A791" s="3" t="s">
        <v>10</v>
      </c>
      <c r="B791" s="3" t="s">
        <v>18</v>
      </c>
      <c r="C791" s="3">
        <v>73390.3</v>
      </c>
      <c r="D791" s="4">
        <v>220170.9</v>
      </c>
      <c r="E791" s="4">
        <v>73390.3</v>
      </c>
      <c r="F791" s="4">
        <v>99634.98599999999</v>
      </c>
    </row>
    <row r="792" spans="1:6" x14ac:dyDescent="0.2">
      <c r="A792" s="3" t="s">
        <v>11</v>
      </c>
      <c r="B792" s="3" t="s">
        <v>18</v>
      </c>
      <c r="C792" s="3">
        <v>70795.45</v>
      </c>
      <c r="D792" s="4">
        <v>212386.35</v>
      </c>
      <c r="E792" s="4">
        <v>70795.45</v>
      </c>
      <c r="F792" s="4">
        <v>99634.98599999999</v>
      </c>
    </row>
    <row r="793" spans="1:6" x14ac:dyDescent="0.2">
      <c r="A793" s="3" t="s">
        <v>12</v>
      </c>
      <c r="B793" s="3" t="s">
        <v>18</v>
      </c>
      <c r="C793" s="3">
        <v>60842.48</v>
      </c>
      <c r="D793" s="4">
        <v>182527.44</v>
      </c>
      <c r="E793" s="4">
        <v>60842.48</v>
      </c>
      <c r="F793" s="4">
        <v>99634.98599999999</v>
      </c>
    </row>
    <row r="794" spans="1:6" x14ac:dyDescent="0.2">
      <c r="A794" s="3" t="s">
        <v>13</v>
      </c>
      <c r="B794" s="3" t="s">
        <v>18</v>
      </c>
      <c r="C794" s="3">
        <v>61575.26</v>
      </c>
      <c r="D794" s="4">
        <v>184725.78</v>
      </c>
      <c r="E794" s="4">
        <v>61575.26</v>
      </c>
      <c r="F794" s="4">
        <v>99634.98599999999</v>
      </c>
    </row>
    <row r="795" spans="1:6" x14ac:dyDescent="0.2">
      <c r="A795" s="3" t="s">
        <v>7</v>
      </c>
      <c r="B795" s="3" t="s">
        <v>20</v>
      </c>
      <c r="C795" s="3">
        <v>89936.93</v>
      </c>
      <c r="D795" s="4">
        <v>269810.78999999998</v>
      </c>
      <c r="E795" s="4">
        <v>89936.93</v>
      </c>
      <c r="F795" s="4">
        <v>92182.01400000001</v>
      </c>
    </row>
    <row r="796" spans="1:6" x14ac:dyDescent="0.2">
      <c r="A796" s="3" t="s">
        <v>9</v>
      </c>
      <c r="B796" s="3" t="s">
        <v>20</v>
      </c>
      <c r="C796" s="3">
        <v>77480.679999999993</v>
      </c>
      <c r="D796" s="4">
        <v>232442.04</v>
      </c>
      <c r="E796" s="4">
        <v>77480.679999999993</v>
      </c>
      <c r="F796" s="4">
        <v>92182.01400000001</v>
      </c>
    </row>
    <row r="797" spans="1:6" x14ac:dyDescent="0.2">
      <c r="A797" s="3" t="s">
        <v>10</v>
      </c>
      <c r="B797" s="3" t="s">
        <v>20</v>
      </c>
      <c r="C797" s="3">
        <v>88558.09</v>
      </c>
      <c r="D797" s="4">
        <v>265674.27</v>
      </c>
      <c r="E797" s="4">
        <v>88558.09</v>
      </c>
      <c r="F797" s="4">
        <v>92182.01400000001</v>
      </c>
    </row>
    <row r="798" spans="1:6" x14ac:dyDescent="0.2">
      <c r="A798" s="3" t="s">
        <v>11</v>
      </c>
      <c r="B798" s="3" t="s">
        <v>20</v>
      </c>
      <c r="C798" s="3">
        <v>93765.14</v>
      </c>
      <c r="D798" s="4">
        <v>281295.42</v>
      </c>
      <c r="E798" s="4">
        <v>93765.14</v>
      </c>
      <c r="F798" s="4">
        <v>92182.01400000001</v>
      </c>
    </row>
    <row r="799" spans="1:6" x14ac:dyDescent="0.2">
      <c r="A799" s="3" t="s">
        <v>12</v>
      </c>
      <c r="B799" s="3" t="s">
        <v>20</v>
      </c>
      <c r="C799" s="3">
        <v>62255.7</v>
      </c>
      <c r="D799" s="4">
        <v>186767.1</v>
      </c>
      <c r="E799" s="4">
        <v>62255.7</v>
      </c>
      <c r="F799" s="4">
        <v>92182.01400000001</v>
      </c>
    </row>
    <row r="800" spans="1:6" x14ac:dyDescent="0.2">
      <c r="A800" s="3" t="s">
        <v>13</v>
      </c>
      <c r="B800" s="3" t="s">
        <v>20</v>
      </c>
      <c r="C800" s="3">
        <v>76196.66</v>
      </c>
      <c r="D800" s="4">
        <v>228589.98</v>
      </c>
      <c r="E800" s="4">
        <v>76196.66</v>
      </c>
      <c r="F800" s="4">
        <v>92182.01400000001</v>
      </c>
    </row>
    <row r="801" spans="1:6" x14ac:dyDescent="0.2">
      <c r="A801" s="3" t="s">
        <v>7</v>
      </c>
      <c r="B801" s="3" t="s">
        <v>18</v>
      </c>
      <c r="C801" s="3">
        <v>61985.96</v>
      </c>
      <c r="D801" s="4">
        <v>185957.88</v>
      </c>
      <c r="E801" s="4">
        <v>61985.96</v>
      </c>
      <c r="F801" s="4">
        <v>99634.98599999999</v>
      </c>
    </row>
    <row r="802" spans="1:6" x14ac:dyDescent="0.2">
      <c r="A802" s="3" t="s">
        <v>9</v>
      </c>
      <c r="B802" s="3" t="s">
        <v>18</v>
      </c>
      <c r="C802" s="3">
        <v>53726.65</v>
      </c>
      <c r="D802" s="4">
        <v>161179.95000000001</v>
      </c>
      <c r="E802" s="4">
        <v>53726.65</v>
      </c>
      <c r="F802" s="4">
        <v>99634.98599999999</v>
      </c>
    </row>
    <row r="803" spans="1:6" x14ac:dyDescent="0.2">
      <c r="A803" s="3" t="s">
        <v>10</v>
      </c>
      <c r="B803" s="3" t="s">
        <v>18</v>
      </c>
      <c r="C803" s="3">
        <v>62300.91</v>
      </c>
      <c r="D803" s="4">
        <v>186902.73</v>
      </c>
      <c r="E803" s="4">
        <v>62300.91</v>
      </c>
      <c r="F803" s="4">
        <v>99634.98599999999</v>
      </c>
    </row>
    <row r="804" spans="1:6" x14ac:dyDescent="0.2">
      <c r="A804" s="3" t="s">
        <v>11</v>
      </c>
      <c r="B804" s="3" t="s">
        <v>18</v>
      </c>
      <c r="C804" s="3">
        <v>65895.320000000007</v>
      </c>
      <c r="D804" s="4">
        <v>197685.96</v>
      </c>
      <c r="E804" s="4">
        <v>65895.320000000007</v>
      </c>
      <c r="F804" s="4">
        <v>99634.98599999999</v>
      </c>
    </row>
    <row r="805" spans="1:6" x14ac:dyDescent="0.2">
      <c r="A805" s="3" t="s">
        <v>12</v>
      </c>
      <c r="B805" s="3" t="s">
        <v>18</v>
      </c>
      <c r="C805" s="3">
        <v>57851.37</v>
      </c>
      <c r="D805" s="4">
        <v>173554.11</v>
      </c>
      <c r="E805" s="4">
        <v>57851.37</v>
      </c>
      <c r="F805" s="4">
        <v>99634.98599999999</v>
      </c>
    </row>
    <row r="806" spans="1:6" x14ac:dyDescent="0.2">
      <c r="A806" s="3" t="s">
        <v>13</v>
      </c>
      <c r="B806" s="3" t="s">
        <v>18</v>
      </c>
      <c r="C806" s="3">
        <v>59681.67</v>
      </c>
      <c r="D806" s="4">
        <v>179045.01</v>
      </c>
      <c r="E806" s="4">
        <v>59681.67</v>
      </c>
      <c r="F806" s="4">
        <v>99634.98599999999</v>
      </c>
    </row>
    <row r="807" spans="1:6" x14ac:dyDescent="0.2">
      <c r="A807" s="3" t="s">
        <v>7</v>
      </c>
      <c r="B807" s="3" t="s">
        <v>18</v>
      </c>
      <c r="C807" s="3">
        <v>42125.01</v>
      </c>
      <c r="D807" s="4">
        <v>126375.03</v>
      </c>
      <c r="E807" s="4">
        <v>42125.01</v>
      </c>
      <c r="F807" s="4">
        <v>99634.98599999999</v>
      </c>
    </row>
    <row r="808" spans="1:6" x14ac:dyDescent="0.2">
      <c r="A808" s="3" t="s">
        <v>9</v>
      </c>
      <c r="B808" s="3" t="s">
        <v>18</v>
      </c>
      <c r="C808" s="3">
        <v>40752.74</v>
      </c>
      <c r="D808" s="4">
        <v>122258.22</v>
      </c>
      <c r="E808" s="4">
        <v>40752.74</v>
      </c>
      <c r="F808" s="4">
        <v>99634.98599999999</v>
      </c>
    </row>
    <row r="809" spans="1:6" x14ac:dyDescent="0.2">
      <c r="A809" s="3" t="s">
        <v>10</v>
      </c>
      <c r="B809" s="3" t="s">
        <v>18</v>
      </c>
      <c r="C809" s="3">
        <v>31764.46</v>
      </c>
      <c r="D809" s="4">
        <v>95293.38</v>
      </c>
      <c r="E809" s="4">
        <v>31764.46</v>
      </c>
      <c r="F809" s="4">
        <v>99634.98599999999</v>
      </c>
    </row>
    <row r="810" spans="1:6" x14ac:dyDescent="0.2">
      <c r="A810" s="3" t="s">
        <v>11</v>
      </c>
      <c r="B810" s="3" t="s">
        <v>18</v>
      </c>
      <c r="C810" s="3">
        <v>45131.3</v>
      </c>
      <c r="D810" s="4">
        <v>135393.9</v>
      </c>
      <c r="E810" s="4">
        <v>45131.3</v>
      </c>
      <c r="F810" s="4">
        <v>99634.98599999999</v>
      </c>
    </row>
    <row r="811" spans="1:6" x14ac:dyDescent="0.2">
      <c r="A811" s="3" t="s">
        <v>12</v>
      </c>
      <c r="B811" s="3" t="s">
        <v>18</v>
      </c>
      <c r="C811" s="3">
        <v>39976.94</v>
      </c>
      <c r="D811" s="4">
        <v>119930.82</v>
      </c>
      <c r="E811" s="4">
        <v>39976.94</v>
      </c>
      <c r="F811" s="4">
        <v>99634.98599999999</v>
      </c>
    </row>
    <row r="812" spans="1:6" x14ac:dyDescent="0.2">
      <c r="A812" s="3" t="s">
        <v>13</v>
      </c>
      <c r="B812" s="3" t="s">
        <v>18</v>
      </c>
      <c r="C812" s="3">
        <v>32387.29</v>
      </c>
      <c r="D812" s="4">
        <v>97161.87</v>
      </c>
      <c r="E812" s="4">
        <v>32387.29</v>
      </c>
      <c r="F812" s="4">
        <v>99634.98599999999</v>
      </c>
    </row>
    <row r="813" spans="1:6" x14ac:dyDescent="0.2">
      <c r="A813" s="3" t="s">
        <v>7</v>
      </c>
      <c r="B813" s="3" t="s">
        <v>17</v>
      </c>
      <c r="C813" s="3">
        <v>66986.45</v>
      </c>
      <c r="D813" s="4">
        <v>200959.35</v>
      </c>
      <c r="E813" s="4">
        <v>66986.45</v>
      </c>
      <c r="F813" s="4">
        <v>83740.842000000004</v>
      </c>
    </row>
    <row r="814" spans="1:6" x14ac:dyDescent="0.2">
      <c r="A814" s="3" t="s">
        <v>9</v>
      </c>
      <c r="B814" s="3" t="s">
        <v>17</v>
      </c>
      <c r="C814" s="3">
        <v>59582</v>
      </c>
      <c r="D814" s="4">
        <v>178746</v>
      </c>
      <c r="E814" s="4">
        <v>59582</v>
      </c>
      <c r="F814" s="4">
        <v>83740.842000000004</v>
      </c>
    </row>
    <row r="815" spans="1:6" x14ac:dyDescent="0.2">
      <c r="A815" s="3" t="s">
        <v>10</v>
      </c>
      <c r="B815" s="3" t="s">
        <v>17</v>
      </c>
      <c r="C815" s="3">
        <v>56920.19</v>
      </c>
      <c r="D815" s="4">
        <v>170760.57</v>
      </c>
      <c r="E815" s="4">
        <v>56920.19</v>
      </c>
      <c r="F815" s="4">
        <v>83740.842000000004</v>
      </c>
    </row>
    <row r="816" spans="1:6" x14ac:dyDescent="0.2">
      <c r="A816" s="3" t="s">
        <v>11</v>
      </c>
      <c r="B816" s="3" t="s">
        <v>17</v>
      </c>
      <c r="C816" s="3">
        <v>61090.53</v>
      </c>
      <c r="D816" s="4">
        <v>183271.59</v>
      </c>
      <c r="E816" s="4">
        <v>61090.53</v>
      </c>
      <c r="F816" s="4">
        <v>83740.842000000004</v>
      </c>
    </row>
    <row r="817" spans="1:6" x14ac:dyDescent="0.2">
      <c r="A817" s="3" t="s">
        <v>12</v>
      </c>
      <c r="B817" s="3" t="s">
        <v>17</v>
      </c>
      <c r="C817" s="3">
        <v>62981.62</v>
      </c>
      <c r="D817" s="4">
        <v>188944.86</v>
      </c>
      <c r="E817" s="4">
        <v>62981.62</v>
      </c>
      <c r="F817" s="4">
        <v>83740.842000000004</v>
      </c>
    </row>
    <row r="818" spans="1:6" x14ac:dyDescent="0.2">
      <c r="A818" s="3" t="s">
        <v>13</v>
      </c>
      <c r="B818" s="3" t="s">
        <v>17</v>
      </c>
      <c r="C818" s="3">
        <v>78893.31</v>
      </c>
      <c r="D818" s="4">
        <v>236679.93</v>
      </c>
      <c r="E818" s="4">
        <v>78893.31</v>
      </c>
      <c r="F818" s="4">
        <v>83740.842000000004</v>
      </c>
    </row>
    <row r="819" spans="1:6" x14ac:dyDescent="0.2">
      <c r="A819" s="3" t="s">
        <v>7</v>
      </c>
      <c r="B819" s="3" t="s">
        <v>20</v>
      </c>
      <c r="C819" s="3">
        <v>34189.01</v>
      </c>
      <c r="D819" s="4">
        <v>102567.03</v>
      </c>
      <c r="E819" s="4">
        <v>34189.01</v>
      </c>
      <c r="F819" s="4">
        <v>92182.01400000001</v>
      </c>
    </row>
    <row r="820" spans="1:6" x14ac:dyDescent="0.2">
      <c r="A820" s="3" t="s">
        <v>9</v>
      </c>
      <c r="B820" s="3" t="s">
        <v>20</v>
      </c>
      <c r="C820" s="3">
        <v>38398.03</v>
      </c>
      <c r="D820" s="4">
        <v>115194.09</v>
      </c>
      <c r="E820" s="4">
        <v>38398.03</v>
      </c>
      <c r="F820" s="4">
        <v>92182.01400000001</v>
      </c>
    </row>
    <row r="821" spans="1:6" x14ac:dyDescent="0.2">
      <c r="A821" s="3" t="s">
        <v>10</v>
      </c>
      <c r="B821" s="3" t="s">
        <v>20</v>
      </c>
      <c r="C821" s="3">
        <v>35150.93</v>
      </c>
      <c r="D821" s="4">
        <v>105452.79</v>
      </c>
      <c r="E821" s="4">
        <v>35150.93</v>
      </c>
      <c r="F821" s="4">
        <v>92182.01400000001</v>
      </c>
    </row>
    <row r="822" spans="1:6" x14ac:dyDescent="0.2">
      <c r="A822" s="3" t="s">
        <v>11</v>
      </c>
      <c r="B822" s="3" t="s">
        <v>20</v>
      </c>
      <c r="C822" s="3">
        <v>40601.699999999997</v>
      </c>
      <c r="D822" s="4">
        <v>121805.1</v>
      </c>
      <c r="E822" s="4">
        <v>40601.699999999997</v>
      </c>
      <c r="F822" s="4">
        <v>92182.01400000001</v>
      </c>
    </row>
    <row r="823" spans="1:6" x14ac:dyDescent="0.2">
      <c r="A823" s="3" t="s">
        <v>12</v>
      </c>
      <c r="B823" s="3" t="s">
        <v>20</v>
      </c>
      <c r="C823" s="3">
        <v>48942.36</v>
      </c>
      <c r="D823" s="4">
        <v>146827.07999999999</v>
      </c>
      <c r="E823" s="4">
        <v>48942.36</v>
      </c>
      <c r="F823" s="4">
        <v>92182.01400000001</v>
      </c>
    </row>
    <row r="824" spans="1:6" x14ac:dyDescent="0.2">
      <c r="A824" s="3" t="s">
        <v>13</v>
      </c>
      <c r="B824" s="3" t="s">
        <v>20</v>
      </c>
      <c r="C824" s="3">
        <v>52348.99</v>
      </c>
      <c r="D824" s="4">
        <v>157046.97</v>
      </c>
      <c r="E824" s="4">
        <v>52348.99</v>
      </c>
      <c r="F824" s="4">
        <v>92182.01400000001</v>
      </c>
    </row>
    <row r="825" spans="1:6" x14ac:dyDescent="0.2">
      <c r="A825" s="3" t="s">
        <v>7</v>
      </c>
      <c r="B825" s="3" t="s">
        <v>16</v>
      </c>
      <c r="C825" s="3">
        <v>63791.33</v>
      </c>
      <c r="D825" s="4">
        <v>191373.99</v>
      </c>
      <c r="E825" s="4">
        <v>63791.33</v>
      </c>
      <c r="F825" s="4">
        <v>94304.313000000009</v>
      </c>
    </row>
    <row r="826" spans="1:6" x14ac:dyDescent="0.2">
      <c r="A826" s="3" t="s">
        <v>9</v>
      </c>
      <c r="B826" s="3" t="s">
        <v>16</v>
      </c>
      <c r="C826" s="3">
        <v>55807.21</v>
      </c>
      <c r="D826" s="4">
        <v>167421.63</v>
      </c>
      <c r="E826" s="4">
        <v>55807.21</v>
      </c>
      <c r="F826" s="4">
        <v>94304.313000000009</v>
      </c>
    </row>
    <row r="827" spans="1:6" x14ac:dyDescent="0.2">
      <c r="A827" s="3" t="s">
        <v>10</v>
      </c>
      <c r="B827" s="3" t="s">
        <v>16</v>
      </c>
      <c r="C827" s="3">
        <v>66690.070000000007</v>
      </c>
      <c r="D827" s="4">
        <v>200070.21</v>
      </c>
      <c r="E827" s="4">
        <v>66690.070000000007</v>
      </c>
      <c r="F827" s="4">
        <v>94304.313000000009</v>
      </c>
    </row>
    <row r="828" spans="1:6" x14ac:dyDescent="0.2">
      <c r="A828" s="3" t="s">
        <v>11</v>
      </c>
      <c r="B828" s="3" t="s">
        <v>16</v>
      </c>
      <c r="C828" s="3">
        <v>48204.17</v>
      </c>
      <c r="D828" s="4">
        <v>144612.51</v>
      </c>
      <c r="E828" s="4">
        <v>48204.17</v>
      </c>
      <c r="F828" s="4">
        <v>94304.313000000009</v>
      </c>
    </row>
    <row r="829" spans="1:6" x14ac:dyDescent="0.2">
      <c r="A829" s="3" t="s">
        <v>12</v>
      </c>
      <c r="B829" s="3" t="s">
        <v>16</v>
      </c>
      <c r="C829" s="3">
        <v>59804.34</v>
      </c>
      <c r="D829" s="4">
        <v>179413.02</v>
      </c>
      <c r="E829" s="4">
        <v>59804.34</v>
      </c>
      <c r="F829" s="4">
        <v>94304.313000000009</v>
      </c>
    </row>
    <row r="830" spans="1:6" x14ac:dyDescent="0.2">
      <c r="A830" s="3" t="s">
        <v>13</v>
      </c>
      <c r="B830" s="3" t="s">
        <v>16</v>
      </c>
      <c r="C830" s="3">
        <v>55504.57</v>
      </c>
      <c r="D830" s="4">
        <v>166513.71</v>
      </c>
      <c r="E830" s="4">
        <v>55504.57</v>
      </c>
      <c r="F830" s="4">
        <v>94304.313000000009</v>
      </c>
    </row>
    <row r="831" spans="1:6" x14ac:dyDescent="0.2">
      <c r="A831" s="3" t="s">
        <v>7</v>
      </c>
      <c r="B831" s="3" t="s">
        <v>20</v>
      </c>
      <c r="C831" s="3">
        <v>70165.899999999994</v>
      </c>
      <c r="D831" s="4">
        <v>210497.7</v>
      </c>
      <c r="E831" s="4">
        <v>70165.899999999994</v>
      </c>
      <c r="F831" s="4">
        <v>92182.01400000001</v>
      </c>
    </row>
    <row r="832" spans="1:6" x14ac:dyDescent="0.2">
      <c r="A832" s="3" t="s">
        <v>9</v>
      </c>
      <c r="B832" s="3" t="s">
        <v>20</v>
      </c>
      <c r="C832" s="3">
        <v>71621.850000000006</v>
      </c>
      <c r="D832" s="4">
        <v>214865.55</v>
      </c>
      <c r="E832" s="4">
        <v>71621.850000000006</v>
      </c>
      <c r="F832" s="4">
        <v>92182.01400000001</v>
      </c>
    </row>
    <row r="833" spans="1:6" x14ac:dyDescent="0.2">
      <c r="A833" s="3" t="s">
        <v>10</v>
      </c>
      <c r="B833" s="3" t="s">
        <v>20</v>
      </c>
      <c r="C833" s="3">
        <v>80053.5</v>
      </c>
      <c r="D833" s="4">
        <v>240160.5</v>
      </c>
      <c r="E833" s="4">
        <v>80053.5</v>
      </c>
      <c r="F833" s="4">
        <v>92182.01400000001</v>
      </c>
    </row>
    <row r="834" spans="1:6" x14ac:dyDescent="0.2">
      <c r="A834" s="3" t="s">
        <v>11</v>
      </c>
      <c r="B834" s="3" t="s">
        <v>20</v>
      </c>
      <c r="C834" s="3">
        <v>80742.11</v>
      </c>
      <c r="D834" s="4">
        <v>242226.33</v>
      </c>
      <c r="E834" s="4">
        <v>80742.11</v>
      </c>
      <c r="F834" s="4">
        <v>92182.01400000001</v>
      </c>
    </row>
    <row r="835" spans="1:6" x14ac:dyDescent="0.2">
      <c r="A835" s="3" t="s">
        <v>12</v>
      </c>
      <c r="B835" s="3" t="s">
        <v>20</v>
      </c>
      <c r="C835" s="3">
        <v>64040.93</v>
      </c>
      <c r="D835" s="4">
        <v>192122.79</v>
      </c>
      <c r="E835" s="4">
        <v>64040.93</v>
      </c>
      <c r="F835" s="4">
        <v>92182.01400000001</v>
      </c>
    </row>
    <row r="836" spans="1:6" x14ac:dyDescent="0.2">
      <c r="A836" s="3" t="s">
        <v>13</v>
      </c>
      <c r="B836" s="3" t="s">
        <v>20</v>
      </c>
      <c r="C836" s="3">
        <v>70594.94</v>
      </c>
      <c r="D836" s="4">
        <v>211784.82</v>
      </c>
      <c r="E836" s="4">
        <v>70594.94</v>
      </c>
      <c r="F836" s="4">
        <v>92182.01400000001</v>
      </c>
    </row>
    <row r="837" spans="1:6" x14ac:dyDescent="0.2">
      <c r="A837" s="3" t="s">
        <v>7</v>
      </c>
      <c r="B837" s="3" t="s">
        <v>16</v>
      </c>
      <c r="C837" s="3">
        <v>57436.61</v>
      </c>
      <c r="D837" s="4">
        <v>172309.83</v>
      </c>
      <c r="E837" s="4">
        <v>57436.61</v>
      </c>
      <c r="F837" s="4">
        <v>94304.313000000009</v>
      </c>
    </row>
    <row r="838" spans="1:6" x14ac:dyDescent="0.2">
      <c r="A838" s="3" t="s">
        <v>9</v>
      </c>
      <c r="B838" s="3" t="s">
        <v>16</v>
      </c>
      <c r="C838" s="3">
        <v>46881.5</v>
      </c>
      <c r="D838" s="4">
        <v>140644.5</v>
      </c>
      <c r="E838" s="4">
        <v>46881.5</v>
      </c>
      <c r="F838" s="4">
        <v>94304.313000000009</v>
      </c>
    </row>
    <row r="839" spans="1:6" x14ac:dyDescent="0.2">
      <c r="A839" s="3" t="s">
        <v>10</v>
      </c>
      <c r="B839" s="3" t="s">
        <v>16</v>
      </c>
      <c r="C839" s="3">
        <v>60244.29</v>
      </c>
      <c r="D839" s="4">
        <v>180732.87</v>
      </c>
      <c r="E839" s="4">
        <v>60244.29</v>
      </c>
      <c r="F839" s="4">
        <v>94304.313000000009</v>
      </c>
    </row>
    <row r="840" spans="1:6" x14ac:dyDescent="0.2">
      <c r="A840" s="3" t="s">
        <v>11</v>
      </c>
      <c r="B840" s="3" t="s">
        <v>16</v>
      </c>
      <c r="C840" s="3">
        <v>51649.46</v>
      </c>
      <c r="D840" s="4">
        <v>154948.38</v>
      </c>
      <c r="E840" s="4">
        <v>51649.46</v>
      </c>
      <c r="F840" s="4">
        <v>94304.313000000009</v>
      </c>
    </row>
    <row r="841" spans="1:6" x14ac:dyDescent="0.2">
      <c r="A841" s="3" t="s">
        <v>12</v>
      </c>
      <c r="B841" s="3" t="s">
        <v>16</v>
      </c>
      <c r="C841" s="3">
        <v>65972.27</v>
      </c>
      <c r="D841" s="4">
        <v>197916.81</v>
      </c>
      <c r="E841" s="4">
        <v>65972.27</v>
      </c>
      <c r="F841" s="4">
        <v>94304.313000000009</v>
      </c>
    </row>
    <row r="842" spans="1:6" x14ac:dyDescent="0.2">
      <c r="A842" s="3" t="s">
        <v>13</v>
      </c>
      <c r="B842" s="3" t="s">
        <v>16</v>
      </c>
      <c r="C842" s="3">
        <v>70817.83</v>
      </c>
      <c r="D842" s="4">
        <v>212453.49</v>
      </c>
      <c r="E842" s="4">
        <v>70817.83</v>
      </c>
      <c r="F842" s="4">
        <v>94304.313000000009</v>
      </c>
    </row>
    <row r="843" spans="1:6" x14ac:dyDescent="0.2">
      <c r="A843" s="3" t="s">
        <v>7</v>
      </c>
      <c r="B843" s="3" t="s">
        <v>17</v>
      </c>
      <c r="C843" s="3">
        <v>55021.52</v>
      </c>
      <c r="D843" s="4">
        <v>165064.56</v>
      </c>
      <c r="E843" s="4">
        <v>55021.52</v>
      </c>
      <c r="F843" s="4">
        <v>83740.842000000004</v>
      </c>
    </row>
    <row r="844" spans="1:6" x14ac:dyDescent="0.2">
      <c r="A844" s="3" t="s">
        <v>9</v>
      </c>
      <c r="B844" s="3" t="s">
        <v>17</v>
      </c>
      <c r="C844" s="3">
        <v>64221.54</v>
      </c>
      <c r="D844" s="4">
        <v>192664.62</v>
      </c>
      <c r="E844" s="4">
        <v>64221.54</v>
      </c>
      <c r="F844" s="4">
        <v>83740.842000000004</v>
      </c>
    </row>
    <row r="845" spans="1:6" x14ac:dyDescent="0.2">
      <c r="A845" s="3" t="s">
        <v>10</v>
      </c>
      <c r="B845" s="3" t="s">
        <v>17</v>
      </c>
      <c r="C845" s="3">
        <v>48072.5</v>
      </c>
      <c r="D845" s="4">
        <v>144217.5</v>
      </c>
      <c r="E845" s="4">
        <v>48072.5</v>
      </c>
      <c r="F845" s="4">
        <v>83740.842000000004</v>
      </c>
    </row>
    <row r="846" spans="1:6" x14ac:dyDescent="0.2">
      <c r="A846" s="3" t="s">
        <v>11</v>
      </c>
      <c r="B846" s="3" t="s">
        <v>17</v>
      </c>
      <c r="C846" s="3">
        <v>76126.759999999995</v>
      </c>
      <c r="D846" s="4">
        <v>228380.28</v>
      </c>
      <c r="E846" s="4">
        <v>76126.759999999995</v>
      </c>
      <c r="F846" s="4">
        <v>83740.842000000004</v>
      </c>
    </row>
    <row r="847" spans="1:6" x14ac:dyDescent="0.2">
      <c r="A847" s="3" t="s">
        <v>12</v>
      </c>
      <c r="B847" s="3" t="s">
        <v>17</v>
      </c>
      <c r="C847" s="3">
        <v>65214.14</v>
      </c>
      <c r="D847" s="4">
        <v>195642.42</v>
      </c>
      <c r="E847" s="4">
        <v>65214.14</v>
      </c>
      <c r="F847" s="4">
        <v>83740.842000000004</v>
      </c>
    </row>
    <row r="848" spans="1:6" x14ac:dyDescent="0.2">
      <c r="A848" s="3" t="s">
        <v>13</v>
      </c>
      <c r="B848" s="3" t="s">
        <v>17</v>
      </c>
      <c r="C848" s="3">
        <v>50180.66</v>
      </c>
      <c r="D848" s="4">
        <v>150541.98000000001</v>
      </c>
      <c r="E848" s="4">
        <v>50180.66</v>
      </c>
      <c r="F848" s="4">
        <v>83740.842000000004</v>
      </c>
    </row>
    <row r="849" spans="1:6" x14ac:dyDescent="0.2">
      <c r="A849" s="3" t="s">
        <v>7</v>
      </c>
      <c r="B849" s="3" t="s">
        <v>14</v>
      </c>
      <c r="C849" s="3">
        <v>54767.8</v>
      </c>
      <c r="D849" s="4">
        <v>164303.4</v>
      </c>
      <c r="E849" s="4">
        <v>54767.8</v>
      </c>
      <c r="F849" s="4">
        <v>92194.631999999998</v>
      </c>
    </row>
    <row r="850" spans="1:6" x14ac:dyDescent="0.2">
      <c r="A850" s="3" t="s">
        <v>9</v>
      </c>
      <c r="B850" s="3" t="s">
        <v>14</v>
      </c>
      <c r="C850" s="3">
        <v>44590.76</v>
      </c>
      <c r="D850" s="4">
        <v>133772.28</v>
      </c>
      <c r="E850" s="4">
        <v>44590.76</v>
      </c>
      <c r="F850" s="4">
        <v>92194.631999999998</v>
      </c>
    </row>
    <row r="851" spans="1:6" x14ac:dyDescent="0.2">
      <c r="A851" s="3" t="s">
        <v>10</v>
      </c>
      <c r="B851" s="3" t="s">
        <v>14</v>
      </c>
      <c r="C851" s="3">
        <v>37047.03</v>
      </c>
      <c r="D851" s="4">
        <v>111141.09</v>
      </c>
      <c r="E851" s="4">
        <v>37047.03</v>
      </c>
      <c r="F851" s="4">
        <v>92194.631999999998</v>
      </c>
    </row>
    <row r="852" spans="1:6" x14ac:dyDescent="0.2">
      <c r="A852" s="3" t="s">
        <v>11</v>
      </c>
      <c r="B852" s="3" t="s">
        <v>14</v>
      </c>
      <c r="C852" s="3">
        <v>50644.66</v>
      </c>
      <c r="D852" s="4">
        <v>151933.98000000001</v>
      </c>
      <c r="E852" s="4">
        <v>50644.66</v>
      </c>
      <c r="F852" s="4">
        <v>92194.631999999998</v>
      </c>
    </row>
    <row r="853" spans="1:6" x14ac:dyDescent="0.2">
      <c r="A853" s="3" t="s">
        <v>12</v>
      </c>
      <c r="B853" s="3" t="s">
        <v>14</v>
      </c>
      <c r="C853" s="3">
        <v>46146.13</v>
      </c>
      <c r="D853" s="4">
        <v>138438.39000000001</v>
      </c>
      <c r="E853" s="4">
        <v>46146.13</v>
      </c>
      <c r="F853" s="4">
        <v>92194.631999999998</v>
      </c>
    </row>
    <row r="854" spans="1:6" x14ac:dyDescent="0.2">
      <c r="A854" s="3" t="s">
        <v>13</v>
      </c>
      <c r="B854" s="3" t="s">
        <v>14</v>
      </c>
      <c r="C854" s="3">
        <v>41996.26</v>
      </c>
      <c r="D854" s="4">
        <v>125988.78</v>
      </c>
      <c r="E854" s="4">
        <v>41996.26</v>
      </c>
      <c r="F854" s="4">
        <v>92194.631999999998</v>
      </c>
    </row>
    <row r="855" spans="1:6" x14ac:dyDescent="0.2">
      <c r="A855" s="3" t="s">
        <v>7</v>
      </c>
      <c r="B855" s="3" t="s">
        <v>16</v>
      </c>
      <c r="C855" s="3">
        <v>47903.88</v>
      </c>
      <c r="D855" s="4">
        <v>143711.64000000001</v>
      </c>
      <c r="E855" s="4">
        <v>47903.88</v>
      </c>
      <c r="F855" s="4">
        <v>94304.313000000009</v>
      </c>
    </row>
    <row r="856" spans="1:6" x14ac:dyDescent="0.2">
      <c r="A856" s="3" t="s">
        <v>9</v>
      </c>
      <c r="B856" s="3" t="s">
        <v>16</v>
      </c>
      <c r="C856" s="3">
        <v>49219.06</v>
      </c>
      <c r="D856" s="4">
        <v>147657.18</v>
      </c>
      <c r="E856" s="4">
        <v>49219.06</v>
      </c>
      <c r="F856" s="4">
        <v>94304.313000000009</v>
      </c>
    </row>
    <row r="857" spans="1:6" x14ac:dyDescent="0.2">
      <c r="A857" s="3" t="s">
        <v>10</v>
      </c>
      <c r="B857" s="3" t="s">
        <v>16</v>
      </c>
      <c r="C857" s="3">
        <v>38778.31</v>
      </c>
      <c r="D857" s="4">
        <v>116334.93</v>
      </c>
      <c r="E857" s="4">
        <v>38778.31</v>
      </c>
      <c r="F857" s="4">
        <v>94304.313000000009</v>
      </c>
    </row>
    <row r="858" spans="1:6" x14ac:dyDescent="0.2">
      <c r="A858" s="3" t="s">
        <v>11</v>
      </c>
      <c r="B858" s="3" t="s">
        <v>16</v>
      </c>
      <c r="C858" s="3">
        <v>40146.42</v>
      </c>
      <c r="D858" s="4">
        <v>120439.26</v>
      </c>
      <c r="E858" s="4">
        <v>40146.42</v>
      </c>
      <c r="F858" s="4">
        <v>94304.313000000009</v>
      </c>
    </row>
    <row r="859" spans="1:6" x14ac:dyDescent="0.2">
      <c r="A859" s="3" t="s">
        <v>12</v>
      </c>
      <c r="B859" s="3" t="s">
        <v>16</v>
      </c>
      <c r="C859" s="3">
        <v>51851.07</v>
      </c>
      <c r="D859" s="4">
        <v>155553.21</v>
      </c>
      <c r="E859" s="4">
        <v>51851.07</v>
      </c>
      <c r="F859" s="4">
        <v>94304.313000000009</v>
      </c>
    </row>
    <row r="860" spans="1:6" x14ac:dyDescent="0.2">
      <c r="A860" s="3" t="s">
        <v>13</v>
      </c>
      <c r="B860" s="3" t="s">
        <v>16</v>
      </c>
      <c r="C860" s="3">
        <v>39602.370000000003</v>
      </c>
      <c r="D860" s="4">
        <v>118807.11</v>
      </c>
      <c r="E860" s="4">
        <v>39602.370000000003</v>
      </c>
      <c r="F860" s="4">
        <v>94304.313000000009</v>
      </c>
    </row>
    <row r="861" spans="1:6" x14ac:dyDescent="0.2">
      <c r="A861" s="3" t="s">
        <v>7</v>
      </c>
      <c r="B861" s="3" t="s">
        <v>20</v>
      </c>
      <c r="C861" s="3">
        <v>31379.73</v>
      </c>
      <c r="D861" s="4">
        <v>94139.19</v>
      </c>
      <c r="E861" s="4">
        <v>31379.73</v>
      </c>
      <c r="F861" s="4">
        <v>92182.01400000001</v>
      </c>
    </row>
    <row r="862" spans="1:6" x14ac:dyDescent="0.2">
      <c r="A862" s="3" t="s">
        <v>9</v>
      </c>
      <c r="B862" s="3" t="s">
        <v>20</v>
      </c>
      <c r="C862" s="3">
        <v>27601.33</v>
      </c>
      <c r="D862" s="4">
        <v>82803.990000000005</v>
      </c>
      <c r="E862" s="4">
        <v>27601.33</v>
      </c>
      <c r="F862" s="4">
        <v>92182.01400000001</v>
      </c>
    </row>
    <row r="863" spans="1:6" x14ac:dyDescent="0.2">
      <c r="A863" s="3" t="s">
        <v>10</v>
      </c>
      <c r="B863" s="3" t="s">
        <v>20</v>
      </c>
      <c r="C863" s="3">
        <v>32714.1</v>
      </c>
      <c r="D863" s="4">
        <v>98142.299999999988</v>
      </c>
      <c r="E863" s="4">
        <v>32714.1</v>
      </c>
      <c r="F863" s="4">
        <v>92182.01400000001</v>
      </c>
    </row>
    <row r="864" spans="1:6" x14ac:dyDescent="0.2">
      <c r="A864" s="3" t="s">
        <v>11</v>
      </c>
      <c r="B864" s="3" t="s">
        <v>20</v>
      </c>
      <c r="C864" s="3">
        <v>22883.54</v>
      </c>
      <c r="D864" s="4">
        <v>68650.62</v>
      </c>
      <c r="E864" s="4">
        <v>22883.54</v>
      </c>
      <c r="F864" s="4">
        <v>92182.01400000001</v>
      </c>
    </row>
    <row r="865" spans="1:6" x14ac:dyDescent="0.2">
      <c r="A865" s="3" t="s">
        <v>12</v>
      </c>
      <c r="B865" s="3" t="s">
        <v>20</v>
      </c>
      <c r="C865" s="3">
        <v>21979.46</v>
      </c>
      <c r="D865" s="4">
        <v>65938.38</v>
      </c>
      <c r="E865" s="4">
        <v>21979.46</v>
      </c>
      <c r="F865" s="4">
        <v>92182.01400000001</v>
      </c>
    </row>
    <row r="866" spans="1:6" x14ac:dyDescent="0.2">
      <c r="A866" s="3" t="s">
        <v>13</v>
      </c>
      <c r="B866" s="3" t="s">
        <v>20</v>
      </c>
      <c r="C866" s="3">
        <v>24694.65</v>
      </c>
      <c r="D866" s="4">
        <v>74083.950000000012</v>
      </c>
      <c r="E866" s="4">
        <v>24694.65</v>
      </c>
      <c r="F866" s="4">
        <v>92182.01400000001</v>
      </c>
    </row>
    <row r="867" spans="1:6" x14ac:dyDescent="0.2">
      <c r="A867" s="3" t="s">
        <v>7</v>
      </c>
      <c r="B867" s="3" t="s">
        <v>19</v>
      </c>
      <c r="C867" s="3">
        <v>36951.949999999997</v>
      </c>
      <c r="D867" s="4">
        <v>110855.85</v>
      </c>
      <c r="E867" s="4">
        <v>36951.949999999997</v>
      </c>
      <c r="F867" s="4">
        <v>101747.052</v>
      </c>
    </row>
    <row r="868" spans="1:6" x14ac:dyDescent="0.2">
      <c r="A868" s="3" t="s">
        <v>9</v>
      </c>
      <c r="B868" s="3" t="s">
        <v>19</v>
      </c>
      <c r="C868" s="3">
        <v>36414.379999999997</v>
      </c>
      <c r="D868" s="4">
        <v>109243.14</v>
      </c>
      <c r="E868" s="4">
        <v>36414.379999999997</v>
      </c>
      <c r="F868" s="4">
        <v>101747.052</v>
      </c>
    </row>
    <row r="869" spans="1:6" x14ac:dyDescent="0.2">
      <c r="A869" s="3" t="s">
        <v>10</v>
      </c>
      <c r="B869" s="3" t="s">
        <v>19</v>
      </c>
      <c r="C869" s="3">
        <v>42013.88</v>
      </c>
      <c r="D869" s="4">
        <v>126041.64</v>
      </c>
      <c r="E869" s="4">
        <v>42013.88</v>
      </c>
      <c r="F869" s="4">
        <v>101747.052</v>
      </c>
    </row>
    <row r="870" spans="1:6" x14ac:dyDescent="0.2">
      <c r="A870" s="3" t="s">
        <v>11</v>
      </c>
      <c r="B870" s="3" t="s">
        <v>19</v>
      </c>
      <c r="C870" s="3">
        <v>45868.94</v>
      </c>
      <c r="D870" s="4">
        <v>137606.82</v>
      </c>
      <c r="E870" s="4">
        <v>45868.94</v>
      </c>
      <c r="F870" s="4">
        <v>101747.052</v>
      </c>
    </row>
    <row r="871" spans="1:6" x14ac:dyDescent="0.2">
      <c r="A871" s="3" t="s">
        <v>12</v>
      </c>
      <c r="B871" s="3" t="s">
        <v>19</v>
      </c>
      <c r="C871" s="3">
        <v>36870.75</v>
      </c>
      <c r="D871" s="4">
        <v>110612.25</v>
      </c>
      <c r="E871" s="4">
        <v>36870.75</v>
      </c>
      <c r="F871" s="4">
        <v>101747.052</v>
      </c>
    </row>
    <row r="872" spans="1:6" x14ac:dyDescent="0.2">
      <c r="A872" s="3" t="s">
        <v>13</v>
      </c>
      <c r="B872" s="3" t="s">
        <v>19</v>
      </c>
      <c r="C872" s="3">
        <v>52686.46</v>
      </c>
      <c r="D872" s="4">
        <v>158059.38</v>
      </c>
      <c r="E872" s="4">
        <v>52686.46</v>
      </c>
      <c r="F872" s="4">
        <v>101747.052</v>
      </c>
    </row>
    <row r="873" spans="1:6" x14ac:dyDescent="0.2">
      <c r="A873" s="3" t="s">
        <v>7</v>
      </c>
      <c r="B873" s="3" t="s">
        <v>20</v>
      </c>
      <c r="C873" s="3">
        <v>56714.53</v>
      </c>
      <c r="D873" s="4">
        <v>170143.59</v>
      </c>
      <c r="E873" s="4">
        <v>56714.53</v>
      </c>
      <c r="F873" s="4">
        <v>92182.01400000001</v>
      </c>
    </row>
    <row r="874" spans="1:6" x14ac:dyDescent="0.2">
      <c r="A874" s="3" t="s">
        <v>9</v>
      </c>
      <c r="B874" s="3" t="s">
        <v>20</v>
      </c>
      <c r="C874" s="3">
        <v>38732.81</v>
      </c>
      <c r="D874" s="4">
        <v>116198.43</v>
      </c>
      <c r="E874" s="4">
        <v>38732.81</v>
      </c>
      <c r="F874" s="4">
        <v>92182.01400000001</v>
      </c>
    </row>
    <row r="875" spans="1:6" x14ac:dyDescent="0.2">
      <c r="A875" s="3" t="s">
        <v>10</v>
      </c>
      <c r="B875" s="3" t="s">
        <v>20</v>
      </c>
      <c r="C875" s="3">
        <v>38853.29</v>
      </c>
      <c r="D875" s="4">
        <v>116559.87</v>
      </c>
      <c r="E875" s="4">
        <v>38853.29</v>
      </c>
      <c r="F875" s="4">
        <v>92182.01400000001</v>
      </c>
    </row>
    <row r="876" spans="1:6" x14ac:dyDescent="0.2">
      <c r="A876" s="3" t="s">
        <v>11</v>
      </c>
      <c r="B876" s="3" t="s">
        <v>20</v>
      </c>
      <c r="C876" s="3">
        <v>46484.33</v>
      </c>
      <c r="D876" s="4">
        <v>139452.99</v>
      </c>
      <c r="E876" s="4">
        <v>46484.33</v>
      </c>
      <c r="F876" s="4">
        <v>92182.01400000001</v>
      </c>
    </row>
    <row r="877" spans="1:6" x14ac:dyDescent="0.2">
      <c r="A877" s="3" t="s">
        <v>12</v>
      </c>
      <c r="B877" s="3" t="s">
        <v>20</v>
      </c>
      <c r="C877" s="3">
        <v>47513.23</v>
      </c>
      <c r="D877" s="4">
        <v>142539.69</v>
      </c>
      <c r="E877" s="4">
        <v>47513.23</v>
      </c>
      <c r="F877" s="4">
        <v>92182.01400000001</v>
      </c>
    </row>
    <row r="878" spans="1:6" x14ac:dyDescent="0.2">
      <c r="A878" s="3" t="s">
        <v>13</v>
      </c>
      <c r="B878" s="3" t="s">
        <v>20</v>
      </c>
      <c r="C878" s="3">
        <v>45119.22</v>
      </c>
      <c r="D878" s="4">
        <v>135357.66</v>
      </c>
      <c r="E878" s="4">
        <v>45119.22</v>
      </c>
      <c r="F878" s="4">
        <v>92182.01400000001</v>
      </c>
    </row>
    <row r="879" spans="1:6" x14ac:dyDescent="0.2">
      <c r="A879" s="3" t="s">
        <v>7</v>
      </c>
      <c r="B879" s="3" t="s">
        <v>21</v>
      </c>
      <c r="C879" s="3">
        <v>57409.4</v>
      </c>
      <c r="D879" s="4">
        <v>172228.2</v>
      </c>
      <c r="E879" s="4">
        <v>57409.4</v>
      </c>
      <c r="F879" s="4">
        <v>100474.88400000001</v>
      </c>
    </row>
    <row r="880" spans="1:6" x14ac:dyDescent="0.2">
      <c r="A880" s="3" t="s">
        <v>9</v>
      </c>
      <c r="B880" s="3" t="s">
        <v>21</v>
      </c>
      <c r="C880" s="3">
        <v>62639.37</v>
      </c>
      <c r="D880" s="4">
        <v>187918.11</v>
      </c>
      <c r="E880" s="4">
        <v>62639.37</v>
      </c>
      <c r="F880" s="4">
        <v>100474.88400000001</v>
      </c>
    </row>
    <row r="881" spans="1:6" x14ac:dyDescent="0.2">
      <c r="A881" s="3" t="s">
        <v>10</v>
      </c>
      <c r="B881" s="3" t="s">
        <v>21</v>
      </c>
      <c r="C881" s="3">
        <v>77025.759999999995</v>
      </c>
      <c r="D881" s="4">
        <v>231077.28</v>
      </c>
      <c r="E881" s="4">
        <v>77025.759999999995</v>
      </c>
      <c r="F881" s="4">
        <v>100474.88400000001</v>
      </c>
    </row>
    <row r="882" spans="1:6" x14ac:dyDescent="0.2">
      <c r="A882" s="3" t="s">
        <v>11</v>
      </c>
      <c r="B882" s="3" t="s">
        <v>21</v>
      </c>
      <c r="C882" s="3">
        <v>81375.679999999993</v>
      </c>
      <c r="D882" s="4">
        <v>244127.04</v>
      </c>
      <c r="E882" s="4">
        <v>81375.679999999993</v>
      </c>
      <c r="F882" s="4">
        <v>100474.88400000001</v>
      </c>
    </row>
    <row r="883" spans="1:6" x14ac:dyDescent="0.2">
      <c r="A883" s="3" t="s">
        <v>12</v>
      </c>
      <c r="B883" s="3" t="s">
        <v>21</v>
      </c>
      <c r="C883" s="3">
        <v>66964.490000000005</v>
      </c>
      <c r="D883" s="4">
        <v>200893.47</v>
      </c>
      <c r="E883" s="4">
        <v>66964.490000000005</v>
      </c>
      <c r="F883" s="4">
        <v>100474.88400000001</v>
      </c>
    </row>
    <row r="884" spans="1:6" x14ac:dyDescent="0.2">
      <c r="A884" s="3" t="s">
        <v>13</v>
      </c>
      <c r="B884" s="3" t="s">
        <v>21</v>
      </c>
      <c r="C884" s="3">
        <v>68446.34</v>
      </c>
      <c r="D884" s="4">
        <v>205339.02</v>
      </c>
      <c r="E884" s="4">
        <v>68446.34</v>
      </c>
      <c r="F884" s="4">
        <v>100474.88400000001</v>
      </c>
    </row>
    <row r="885" spans="1:6" x14ac:dyDescent="0.2">
      <c r="A885" s="3" t="s">
        <v>7</v>
      </c>
      <c r="B885" s="3" t="s">
        <v>15</v>
      </c>
      <c r="C885" s="3">
        <v>38780.99</v>
      </c>
      <c r="D885" s="4">
        <v>116342.97</v>
      </c>
      <c r="E885" s="4">
        <v>38780.99</v>
      </c>
      <c r="F885" s="4">
        <v>95796.692999999999</v>
      </c>
    </row>
    <row r="886" spans="1:6" x14ac:dyDescent="0.2">
      <c r="A886" s="3" t="s">
        <v>9</v>
      </c>
      <c r="B886" s="3" t="s">
        <v>15</v>
      </c>
      <c r="C886" s="3">
        <v>49088.99</v>
      </c>
      <c r="D886" s="4">
        <v>147266.97</v>
      </c>
      <c r="E886" s="4">
        <v>49088.99</v>
      </c>
      <c r="F886" s="4">
        <v>95796.692999999999</v>
      </c>
    </row>
    <row r="887" spans="1:6" x14ac:dyDescent="0.2">
      <c r="A887" s="3" t="s">
        <v>10</v>
      </c>
      <c r="B887" s="3" t="s">
        <v>15</v>
      </c>
      <c r="C887" s="3">
        <v>43734.51</v>
      </c>
      <c r="D887" s="4">
        <v>131203.53</v>
      </c>
      <c r="E887" s="4">
        <v>43734.51</v>
      </c>
      <c r="F887" s="4">
        <v>95796.692999999999</v>
      </c>
    </row>
    <row r="888" spans="1:6" x14ac:dyDescent="0.2">
      <c r="A888" s="3" t="s">
        <v>11</v>
      </c>
      <c r="B888" s="3" t="s">
        <v>15</v>
      </c>
      <c r="C888" s="3">
        <v>51875.57</v>
      </c>
      <c r="D888" s="4">
        <v>155626.71</v>
      </c>
      <c r="E888" s="4">
        <v>51875.57</v>
      </c>
      <c r="F888" s="4">
        <v>95796.692999999999</v>
      </c>
    </row>
    <row r="889" spans="1:6" x14ac:dyDescent="0.2">
      <c r="A889" s="3" t="s">
        <v>12</v>
      </c>
      <c r="B889" s="3" t="s">
        <v>15</v>
      </c>
      <c r="C889" s="3">
        <v>42866.71</v>
      </c>
      <c r="D889" s="4">
        <v>128600.13</v>
      </c>
      <c r="E889" s="4">
        <v>42866.71</v>
      </c>
      <c r="F889" s="4">
        <v>95796.692999999999</v>
      </c>
    </row>
    <row r="890" spans="1:6" x14ac:dyDescent="0.2">
      <c r="A890" s="3" t="s">
        <v>13</v>
      </c>
      <c r="B890" s="3" t="s">
        <v>15</v>
      </c>
      <c r="C890" s="3">
        <v>60520.94</v>
      </c>
      <c r="D890" s="4">
        <v>181562.82</v>
      </c>
      <c r="E890" s="4">
        <v>60520.94</v>
      </c>
      <c r="F890" s="4">
        <v>95796.692999999999</v>
      </c>
    </row>
    <row r="891" spans="1:6" x14ac:dyDescent="0.2">
      <c r="A891" s="3" t="s">
        <v>7</v>
      </c>
      <c r="B891" s="3" t="s">
        <v>21</v>
      </c>
      <c r="C891" s="3">
        <v>62542.36</v>
      </c>
      <c r="D891" s="4">
        <v>187627.08</v>
      </c>
      <c r="E891" s="4">
        <v>62542.36</v>
      </c>
      <c r="F891" s="4">
        <v>100474.88400000001</v>
      </c>
    </row>
    <row r="892" spans="1:6" x14ac:dyDescent="0.2">
      <c r="A892" s="3" t="s">
        <v>9</v>
      </c>
      <c r="B892" s="3" t="s">
        <v>21</v>
      </c>
      <c r="C892" s="3">
        <v>65791.38</v>
      </c>
      <c r="D892" s="4">
        <v>197374.14</v>
      </c>
      <c r="E892" s="4">
        <v>65791.38</v>
      </c>
      <c r="F892" s="4">
        <v>100474.88400000001</v>
      </c>
    </row>
    <row r="893" spans="1:6" x14ac:dyDescent="0.2">
      <c r="A893" s="3" t="s">
        <v>10</v>
      </c>
      <c r="B893" s="3" t="s">
        <v>21</v>
      </c>
      <c r="C893" s="3">
        <v>57415.45</v>
      </c>
      <c r="D893" s="4">
        <v>172246.35</v>
      </c>
      <c r="E893" s="4">
        <v>57415.45</v>
      </c>
      <c r="F893" s="4">
        <v>100474.88400000001</v>
      </c>
    </row>
    <row r="894" spans="1:6" x14ac:dyDescent="0.2">
      <c r="A894" s="3" t="s">
        <v>11</v>
      </c>
      <c r="B894" s="3" t="s">
        <v>21</v>
      </c>
      <c r="C894" s="3">
        <v>58920.94</v>
      </c>
      <c r="D894" s="4">
        <v>176762.82</v>
      </c>
      <c r="E894" s="4">
        <v>58920.94</v>
      </c>
      <c r="F894" s="4">
        <v>100474.88400000001</v>
      </c>
    </row>
    <row r="895" spans="1:6" x14ac:dyDescent="0.2">
      <c r="A895" s="3" t="s">
        <v>12</v>
      </c>
      <c r="B895" s="3" t="s">
        <v>21</v>
      </c>
      <c r="C895" s="3">
        <v>55212.41</v>
      </c>
      <c r="D895" s="4">
        <v>165637.23000000001</v>
      </c>
      <c r="E895" s="4">
        <v>55212.41</v>
      </c>
      <c r="F895" s="4">
        <v>100474.88400000001</v>
      </c>
    </row>
    <row r="896" spans="1:6" x14ac:dyDescent="0.2">
      <c r="A896" s="3" t="s">
        <v>13</v>
      </c>
      <c r="B896" s="3" t="s">
        <v>21</v>
      </c>
      <c r="C896" s="3">
        <v>86035.63</v>
      </c>
      <c r="D896" s="4">
        <v>258106.89</v>
      </c>
      <c r="E896" s="4">
        <v>86035.63</v>
      </c>
      <c r="F896" s="4">
        <v>100474.88400000001</v>
      </c>
    </row>
    <row r="897" spans="1:6" x14ac:dyDescent="0.2">
      <c r="A897" s="3" t="s">
        <v>7</v>
      </c>
      <c r="B897" s="3" t="s">
        <v>18</v>
      </c>
      <c r="C897" s="3">
        <v>56774</v>
      </c>
      <c r="D897" s="4">
        <v>170322</v>
      </c>
      <c r="E897" s="4">
        <v>56774</v>
      </c>
      <c r="F897" s="4">
        <v>99634.98599999999</v>
      </c>
    </row>
    <row r="898" spans="1:6" x14ac:dyDescent="0.2">
      <c r="A898" s="3" t="s">
        <v>9</v>
      </c>
      <c r="B898" s="3" t="s">
        <v>18</v>
      </c>
      <c r="C898" s="3">
        <v>57758.39</v>
      </c>
      <c r="D898" s="4">
        <v>173275.17</v>
      </c>
      <c r="E898" s="4">
        <v>57758.39</v>
      </c>
      <c r="F898" s="4">
        <v>99634.98599999999</v>
      </c>
    </row>
    <row r="899" spans="1:6" x14ac:dyDescent="0.2">
      <c r="A899" s="3" t="s">
        <v>10</v>
      </c>
      <c r="B899" s="3" t="s">
        <v>18</v>
      </c>
      <c r="C899" s="3">
        <v>54198.15</v>
      </c>
      <c r="D899" s="4">
        <v>162594.45000000001</v>
      </c>
      <c r="E899" s="4">
        <v>54198.15</v>
      </c>
      <c r="F899" s="4">
        <v>99634.98599999999</v>
      </c>
    </row>
    <row r="900" spans="1:6" x14ac:dyDescent="0.2">
      <c r="A900" s="3" t="s">
        <v>11</v>
      </c>
      <c r="B900" s="3" t="s">
        <v>18</v>
      </c>
      <c r="C900" s="3">
        <v>58254.239999999998</v>
      </c>
      <c r="D900" s="4">
        <v>174762.72</v>
      </c>
      <c r="E900" s="4">
        <v>58254.239999999998</v>
      </c>
      <c r="F900" s="4">
        <v>99634.98599999999</v>
      </c>
    </row>
    <row r="901" spans="1:6" x14ac:dyDescent="0.2">
      <c r="A901" s="3" t="s">
        <v>12</v>
      </c>
      <c r="B901" s="3" t="s">
        <v>18</v>
      </c>
      <c r="C901" s="3">
        <v>52279.51</v>
      </c>
      <c r="D901" s="4">
        <v>156838.53</v>
      </c>
      <c r="E901" s="4">
        <v>52279.51</v>
      </c>
      <c r="F901" s="4">
        <v>99634.98599999999</v>
      </c>
    </row>
    <row r="902" spans="1:6" x14ac:dyDescent="0.2">
      <c r="A902" s="3" t="s">
        <v>13</v>
      </c>
      <c r="B902" s="3" t="s">
        <v>18</v>
      </c>
      <c r="C902" s="3">
        <v>78221.52</v>
      </c>
      <c r="D902" s="4">
        <v>234664.56</v>
      </c>
      <c r="E902" s="4">
        <v>78221.52</v>
      </c>
      <c r="F902" s="4">
        <v>99634.98599999999</v>
      </c>
    </row>
    <row r="903" spans="1:6" x14ac:dyDescent="0.2">
      <c r="A903" s="3" t="s">
        <v>7</v>
      </c>
      <c r="B903" s="3" t="s">
        <v>17</v>
      </c>
      <c r="C903" s="3">
        <v>32013.7</v>
      </c>
      <c r="D903" s="4">
        <v>96041.1</v>
      </c>
      <c r="E903" s="4">
        <v>32013.7</v>
      </c>
      <c r="F903" s="4">
        <v>83740.842000000004</v>
      </c>
    </row>
    <row r="904" spans="1:6" x14ac:dyDescent="0.2">
      <c r="A904" s="3" t="s">
        <v>9</v>
      </c>
      <c r="B904" s="3" t="s">
        <v>17</v>
      </c>
      <c r="C904" s="3">
        <v>44694.61</v>
      </c>
      <c r="D904" s="4">
        <v>134083.82999999999</v>
      </c>
      <c r="E904" s="4">
        <v>44694.61</v>
      </c>
      <c r="F904" s="4">
        <v>83740.842000000004</v>
      </c>
    </row>
    <row r="905" spans="1:6" x14ac:dyDescent="0.2">
      <c r="A905" s="3" t="s">
        <v>10</v>
      </c>
      <c r="B905" s="3" t="s">
        <v>17</v>
      </c>
      <c r="C905" s="3">
        <v>53554.34</v>
      </c>
      <c r="D905" s="4">
        <v>160663.01999999999</v>
      </c>
      <c r="E905" s="4">
        <v>53554.34</v>
      </c>
      <c r="F905" s="4">
        <v>83740.842000000004</v>
      </c>
    </row>
    <row r="906" spans="1:6" x14ac:dyDescent="0.2">
      <c r="A906" s="3" t="s">
        <v>11</v>
      </c>
      <c r="B906" s="3" t="s">
        <v>17</v>
      </c>
      <c r="C906" s="3">
        <v>47421.87</v>
      </c>
      <c r="D906" s="4">
        <v>142265.60999999999</v>
      </c>
      <c r="E906" s="4">
        <v>47421.87</v>
      </c>
      <c r="F906" s="4">
        <v>83740.842000000004</v>
      </c>
    </row>
    <row r="907" spans="1:6" x14ac:dyDescent="0.2">
      <c r="A907" s="3" t="s">
        <v>12</v>
      </c>
      <c r="B907" s="3" t="s">
        <v>17</v>
      </c>
      <c r="C907" s="3">
        <v>50647.85</v>
      </c>
      <c r="D907" s="4">
        <v>151943.54999999999</v>
      </c>
      <c r="E907" s="4">
        <v>50647.85</v>
      </c>
      <c r="F907" s="4">
        <v>83740.842000000004</v>
      </c>
    </row>
    <row r="908" spans="1:6" x14ac:dyDescent="0.2">
      <c r="A908" s="3" t="s">
        <v>13</v>
      </c>
      <c r="B908" s="3" t="s">
        <v>17</v>
      </c>
      <c r="C908" s="3">
        <v>56340.36</v>
      </c>
      <c r="D908" s="4">
        <v>169021.08</v>
      </c>
      <c r="E908" s="4">
        <v>56340.36</v>
      </c>
      <c r="F908" s="4">
        <v>83740.842000000004</v>
      </c>
    </row>
    <row r="909" spans="1:6" x14ac:dyDescent="0.2">
      <c r="A909" s="3" t="s">
        <v>7</v>
      </c>
      <c r="B909" s="3" t="s">
        <v>17</v>
      </c>
      <c r="C909" s="3">
        <v>42588.44</v>
      </c>
      <c r="D909" s="4">
        <v>127765.32</v>
      </c>
      <c r="E909" s="4">
        <v>42588.44</v>
      </c>
      <c r="F909" s="4">
        <v>83740.842000000004</v>
      </c>
    </row>
    <row r="910" spans="1:6" x14ac:dyDescent="0.2">
      <c r="A910" s="3" t="s">
        <v>9</v>
      </c>
      <c r="B910" s="3" t="s">
        <v>17</v>
      </c>
      <c r="C910" s="3">
        <v>36044.839999999997</v>
      </c>
      <c r="D910" s="4">
        <v>108134.52</v>
      </c>
      <c r="E910" s="4">
        <v>36044.839999999997</v>
      </c>
      <c r="F910" s="4">
        <v>83740.842000000004</v>
      </c>
    </row>
    <row r="911" spans="1:6" x14ac:dyDescent="0.2">
      <c r="A911" s="3" t="s">
        <v>10</v>
      </c>
      <c r="B911" s="3" t="s">
        <v>17</v>
      </c>
      <c r="C911" s="3">
        <v>36069.75</v>
      </c>
      <c r="D911" s="4">
        <v>108209.25</v>
      </c>
      <c r="E911" s="4">
        <v>36069.75</v>
      </c>
      <c r="F911" s="4">
        <v>83740.842000000004</v>
      </c>
    </row>
    <row r="912" spans="1:6" x14ac:dyDescent="0.2">
      <c r="A912" s="3" t="s">
        <v>11</v>
      </c>
      <c r="B912" s="3" t="s">
        <v>17</v>
      </c>
      <c r="C912" s="3">
        <v>37297.56</v>
      </c>
      <c r="D912" s="4">
        <v>111892.68</v>
      </c>
      <c r="E912" s="4">
        <v>37297.56</v>
      </c>
      <c r="F912" s="4">
        <v>83740.842000000004</v>
      </c>
    </row>
    <row r="913" spans="1:6" x14ac:dyDescent="0.2">
      <c r="A913" s="3" t="s">
        <v>12</v>
      </c>
      <c r="B913" s="3" t="s">
        <v>17</v>
      </c>
      <c r="C913" s="3">
        <v>39229.24</v>
      </c>
      <c r="D913" s="4">
        <v>117687.72</v>
      </c>
      <c r="E913" s="4">
        <v>39229.24</v>
      </c>
      <c r="F913" s="4">
        <v>83740.842000000004</v>
      </c>
    </row>
    <row r="914" spans="1:6" x14ac:dyDescent="0.2">
      <c r="A914" s="3" t="s">
        <v>13</v>
      </c>
      <c r="B914" s="3" t="s">
        <v>17</v>
      </c>
      <c r="C914" s="3">
        <v>47316.54</v>
      </c>
      <c r="D914" s="4">
        <v>141949.62</v>
      </c>
      <c r="E914" s="4">
        <v>47316.54</v>
      </c>
      <c r="F914" s="4">
        <v>83740.842000000004</v>
      </c>
    </row>
    <row r="915" spans="1:6" x14ac:dyDescent="0.2">
      <c r="A915" s="3" t="s">
        <v>7</v>
      </c>
      <c r="B915" s="3" t="s">
        <v>8</v>
      </c>
      <c r="C915" s="3">
        <v>69141.45</v>
      </c>
      <c r="D915" s="4">
        <v>207424.35</v>
      </c>
      <c r="E915" s="4">
        <v>69141.45</v>
      </c>
      <c r="F915" s="4">
        <v>91734.462</v>
      </c>
    </row>
    <row r="916" spans="1:6" x14ac:dyDescent="0.2">
      <c r="A916" s="3" t="s">
        <v>9</v>
      </c>
      <c r="B916" s="3" t="s">
        <v>8</v>
      </c>
      <c r="C916" s="3">
        <v>61439.16</v>
      </c>
      <c r="D916" s="4">
        <v>184317.48</v>
      </c>
      <c r="E916" s="4">
        <v>61439.16</v>
      </c>
      <c r="F916" s="4">
        <v>91734.462</v>
      </c>
    </row>
    <row r="917" spans="1:6" x14ac:dyDescent="0.2">
      <c r="A917" s="3" t="s">
        <v>10</v>
      </c>
      <c r="B917" s="3" t="s">
        <v>8</v>
      </c>
      <c r="C917" s="3">
        <v>64921.58</v>
      </c>
      <c r="D917" s="4">
        <v>194764.74</v>
      </c>
      <c r="E917" s="4">
        <v>64921.58</v>
      </c>
      <c r="F917" s="4">
        <v>91734.462</v>
      </c>
    </row>
    <row r="918" spans="1:6" x14ac:dyDescent="0.2">
      <c r="A918" s="3" t="s">
        <v>11</v>
      </c>
      <c r="B918" s="3" t="s">
        <v>8</v>
      </c>
      <c r="C918" s="3">
        <v>74433.789999999994</v>
      </c>
      <c r="D918" s="4">
        <v>223301.37</v>
      </c>
      <c r="E918" s="4">
        <v>74433.789999999994</v>
      </c>
      <c r="F918" s="4">
        <v>91734.462</v>
      </c>
    </row>
    <row r="919" spans="1:6" x14ac:dyDescent="0.2">
      <c r="A919" s="3" t="s">
        <v>12</v>
      </c>
      <c r="B919" s="3" t="s">
        <v>8</v>
      </c>
      <c r="C919" s="3">
        <v>62147.67</v>
      </c>
      <c r="D919" s="4">
        <v>186443.01</v>
      </c>
      <c r="E919" s="4">
        <v>62147.67</v>
      </c>
      <c r="F919" s="4">
        <v>91734.462</v>
      </c>
    </row>
    <row r="920" spans="1:6" x14ac:dyDescent="0.2">
      <c r="A920" s="3" t="s">
        <v>13</v>
      </c>
      <c r="B920" s="3" t="s">
        <v>8</v>
      </c>
      <c r="C920" s="3">
        <v>61734.86</v>
      </c>
      <c r="D920" s="4">
        <v>185204.58</v>
      </c>
      <c r="E920" s="4">
        <v>61734.86</v>
      </c>
      <c r="F920" s="4">
        <v>91734.462</v>
      </c>
    </row>
    <row r="921" spans="1:6" x14ac:dyDescent="0.2">
      <c r="A921" s="3" t="s">
        <v>7</v>
      </c>
      <c r="B921" s="3" t="s">
        <v>15</v>
      </c>
      <c r="C921" s="3">
        <v>99937.96</v>
      </c>
      <c r="D921" s="4">
        <v>299813.88</v>
      </c>
      <c r="E921" s="4">
        <v>99937.96</v>
      </c>
      <c r="F921" s="4">
        <v>95796.692999999999</v>
      </c>
    </row>
    <row r="922" spans="1:6" x14ac:dyDescent="0.2">
      <c r="A922" s="3" t="s">
        <v>9</v>
      </c>
      <c r="B922" s="3" t="s">
        <v>15</v>
      </c>
      <c r="C922" s="3">
        <v>102536.38</v>
      </c>
      <c r="D922" s="4">
        <v>307609.14</v>
      </c>
      <c r="E922" s="4">
        <v>102536.38</v>
      </c>
      <c r="F922" s="4">
        <v>95796.692999999999</v>
      </c>
    </row>
    <row r="923" spans="1:6" x14ac:dyDescent="0.2">
      <c r="A923" s="3" t="s">
        <v>10</v>
      </c>
      <c r="B923" s="3" t="s">
        <v>15</v>
      </c>
      <c r="C923" s="3">
        <v>77083.600000000006</v>
      </c>
      <c r="D923" s="4">
        <v>231250.8</v>
      </c>
      <c r="E923" s="4">
        <v>77083.600000000006</v>
      </c>
      <c r="F923" s="4">
        <v>95796.692999999999</v>
      </c>
    </row>
    <row r="924" spans="1:6" x14ac:dyDescent="0.2">
      <c r="A924" s="3" t="s">
        <v>11</v>
      </c>
      <c r="B924" s="3" t="s">
        <v>15</v>
      </c>
      <c r="C924" s="3">
        <v>106440.77</v>
      </c>
      <c r="D924" s="4">
        <v>319322.31</v>
      </c>
      <c r="E924" s="4">
        <v>106440.77</v>
      </c>
      <c r="F924" s="4">
        <v>95796.692999999999</v>
      </c>
    </row>
    <row r="925" spans="1:6" x14ac:dyDescent="0.2">
      <c r="A925" s="3" t="s">
        <v>12</v>
      </c>
      <c r="B925" s="3" t="s">
        <v>15</v>
      </c>
      <c r="C925" s="3">
        <v>68259.490000000005</v>
      </c>
      <c r="D925" s="4">
        <v>204778.47</v>
      </c>
      <c r="E925" s="4">
        <v>68259.490000000005</v>
      </c>
      <c r="F925" s="4">
        <v>95796.692999999999</v>
      </c>
    </row>
    <row r="926" spans="1:6" x14ac:dyDescent="0.2">
      <c r="A926" s="3" t="s">
        <v>13</v>
      </c>
      <c r="B926" s="3" t="s">
        <v>15</v>
      </c>
      <c r="C926" s="3">
        <v>92730.75</v>
      </c>
      <c r="D926" s="4">
        <v>278192.25</v>
      </c>
      <c r="E926" s="4">
        <v>92730.75</v>
      </c>
      <c r="F926" s="4">
        <v>95796.692999999999</v>
      </c>
    </row>
    <row r="927" spans="1:6" x14ac:dyDescent="0.2">
      <c r="A927" s="3" t="s">
        <v>7</v>
      </c>
      <c r="B927" s="3" t="s">
        <v>20</v>
      </c>
      <c r="C927" s="3">
        <v>63024.17</v>
      </c>
      <c r="D927" s="4">
        <v>189072.51</v>
      </c>
      <c r="E927" s="4">
        <v>63024.17</v>
      </c>
      <c r="F927" s="4">
        <v>92182.01400000001</v>
      </c>
    </row>
    <row r="928" spans="1:6" x14ac:dyDescent="0.2">
      <c r="A928" s="3" t="s">
        <v>9</v>
      </c>
      <c r="B928" s="3" t="s">
        <v>20</v>
      </c>
      <c r="C928" s="3">
        <v>72585.759999999995</v>
      </c>
      <c r="D928" s="4">
        <v>217757.28</v>
      </c>
      <c r="E928" s="4">
        <v>72585.759999999995</v>
      </c>
      <c r="F928" s="4">
        <v>92182.01400000001</v>
      </c>
    </row>
    <row r="929" spans="1:6" x14ac:dyDescent="0.2">
      <c r="A929" s="3" t="s">
        <v>10</v>
      </c>
      <c r="B929" s="3" t="s">
        <v>20</v>
      </c>
      <c r="C929" s="3">
        <v>59561.97</v>
      </c>
      <c r="D929" s="4">
        <v>178685.91</v>
      </c>
      <c r="E929" s="4">
        <v>59561.97</v>
      </c>
      <c r="F929" s="4">
        <v>92182.01400000001</v>
      </c>
    </row>
    <row r="930" spans="1:6" x14ac:dyDescent="0.2">
      <c r="A930" s="3" t="s">
        <v>11</v>
      </c>
      <c r="B930" s="3" t="s">
        <v>20</v>
      </c>
      <c r="C930" s="3">
        <v>57343.47</v>
      </c>
      <c r="D930" s="4">
        <v>172030.41</v>
      </c>
      <c r="E930" s="4">
        <v>57343.47</v>
      </c>
      <c r="F930" s="4">
        <v>92182.01400000001</v>
      </c>
    </row>
    <row r="931" spans="1:6" x14ac:dyDescent="0.2">
      <c r="A931" s="3" t="s">
        <v>12</v>
      </c>
      <c r="B931" s="3" t="s">
        <v>20</v>
      </c>
      <c r="C931" s="3">
        <v>71947.710000000006</v>
      </c>
      <c r="D931" s="4">
        <v>215843.13</v>
      </c>
      <c r="E931" s="4">
        <v>71947.710000000006</v>
      </c>
      <c r="F931" s="4">
        <v>92182.01400000001</v>
      </c>
    </row>
    <row r="932" spans="1:6" x14ac:dyDescent="0.2">
      <c r="A932" s="3" t="s">
        <v>13</v>
      </c>
      <c r="B932" s="3" t="s">
        <v>20</v>
      </c>
      <c r="C932" s="3">
        <v>84371.08</v>
      </c>
      <c r="D932" s="4">
        <v>253113.24</v>
      </c>
      <c r="E932" s="4">
        <v>84371.08</v>
      </c>
      <c r="F932" s="4">
        <v>92182.01400000001</v>
      </c>
    </row>
    <row r="933" spans="1:6" x14ac:dyDescent="0.2">
      <c r="A933" s="3" t="s">
        <v>7</v>
      </c>
      <c r="B933" s="3" t="s">
        <v>16</v>
      </c>
      <c r="C933" s="3">
        <v>45585.16</v>
      </c>
      <c r="D933" s="4">
        <v>136755.48000000001</v>
      </c>
      <c r="E933" s="4">
        <v>45585.16</v>
      </c>
      <c r="F933" s="4">
        <v>94304.313000000009</v>
      </c>
    </row>
    <row r="934" spans="1:6" x14ac:dyDescent="0.2">
      <c r="A934" s="3" t="s">
        <v>9</v>
      </c>
      <c r="B934" s="3" t="s">
        <v>16</v>
      </c>
      <c r="C934" s="3">
        <v>61883.99</v>
      </c>
      <c r="D934" s="4">
        <v>185651.97</v>
      </c>
      <c r="E934" s="4">
        <v>61883.99</v>
      </c>
      <c r="F934" s="4">
        <v>94304.313000000009</v>
      </c>
    </row>
    <row r="935" spans="1:6" x14ac:dyDescent="0.2">
      <c r="A935" s="3" t="s">
        <v>10</v>
      </c>
      <c r="B935" s="3" t="s">
        <v>16</v>
      </c>
      <c r="C935" s="3">
        <v>44251.71</v>
      </c>
      <c r="D935" s="4">
        <v>132755.13</v>
      </c>
      <c r="E935" s="4">
        <v>44251.71</v>
      </c>
      <c r="F935" s="4">
        <v>94304.313000000009</v>
      </c>
    </row>
    <row r="936" spans="1:6" x14ac:dyDescent="0.2">
      <c r="A936" s="3" t="s">
        <v>11</v>
      </c>
      <c r="B936" s="3" t="s">
        <v>16</v>
      </c>
      <c r="C936" s="3">
        <v>54570.12</v>
      </c>
      <c r="D936" s="4">
        <v>163710.35999999999</v>
      </c>
      <c r="E936" s="4">
        <v>54570.12</v>
      </c>
      <c r="F936" s="4">
        <v>94304.313000000009</v>
      </c>
    </row>
    <row r="937" spans="1:6" x14ac:dyDescent="0.2">
      <c r="A937" s="3" t="s">
        <v>12</v>
      </c>
      <c r="B937" s="3" t="s">
        <v>16</v>
      </c>
      <c r="C937" s="3">
        <v>65650.570000000007</v>
      </c>
      <c r="D937" s="4">
        <v>196951.71</v>
      </c>
      <c r="E937" s="4">
        <v>65650.570000000007</v>
      </c>
      <c r="F937" s="4">
        <v>94304.313000000009</v>
      </c>
    </row>
    <row r="938" spans="1:6" x14ac:dyDescent="0.2">
      <c r="A938" s="3" t="s">
        <v>13</v>
      </c>
      <c r="B938" s="3" t="s">
        <v>16</v>
      </c>
      <c r="C938" s="3">
        <v>48107.46</v>
      </c>
      <c r="D938" s="4">
        <v>144322.38</v>
      </c>
      <c r="E938" s="4">
        <v>48107.46</v>
      </c>
      <c r="F938" s="4">
        <v>94304.313000000009</v>
      </c>
    </row>
    <row r="939" spans="1:6" x14ac:dyDescent="0.2">
      <c r="A939" s="3" t="s">
        <v>7</v>
      </c>
      <c r="B939" s="3" t="s">
        <v>21</v>
      </c>
      <c r="C939" s="3">
        <v>48087.72</v>
      </c>
      <c r="D939" s="4">
        <v>144263.16</v>
      </c>
      <c r="E939" s="4">
        <v>48087.72</v>
      </c>
      <c r="F939" s="4">
        <v>100474.88400000001</v>
      </c>
    </row>
    <row r="940" spans="1:6" x14ac:dyDescent="0.2">
      <c r="A940" s="3" t="s">
        <v>9</v>
      </c>
      <c r="B940" s="3" t="s">
        <v>21</v>
      </c>
      <c r="C940" s="3">
        <v>46697.01</v>
      </c>
      <c r="D940" s="4">
        <v>140091.03</v>
      </c>
      <c r="E940" s="4">
        <v>46697.01</v>
      </c>
      <c r="F940" s="4">
        <v>100474.88400000001</v>
      </c>
    </row>
    <row r="941" spans="1:6" x14ac:dyDescent="0.2">
      <c r="A941" s="3" t="s">
        <v>10</v>
      </c>
      <c r="B941" s="3" t="s">
        <v>21</v>
      </c>
      <c r="C941" s="3">
        <v>37040</v>
      </c>
      <c r="D941" s="4">
        <v>111120</v>
      </c>
      <c r="E941" s="4">
        <v>37040</v>
      </c>
      <c r="F941" s="4">
        <v>100474.88400000001</v>
      </c>
    </row>
    <row r="942" spans="1:6" x14ac:dyDescent="0.2">
      <c r="A942" s="3" t="s">
        <v>11</v>
      </c>
      <c r="B942" s="3" t="s">
        <v>21</v>
      </c>
      <c r="C942" s="3">
        <v>35984.83</v>
      </c>
      <c r="D942" s="4">
        <v>107954.49</v>
      </c>
      <c r="E942" s="4">
        <v>35984.83</v>
      </c>
      <c r="F942" s="4">
        <v>100474.88400000001</v>
      </c>
    </row>
    <row r="943" spans="1:6" x14ac:dyDescent="0.2">
      <c r="A943" s="3" t="s">
        <v>12</v>
      </c>
      <c r="B943" s="3" t="s">
        <v>21</v>
      </c>
      <c r="C943" s="3">
        <v>45775.57</v>
      </c>
      <c r="D943" s="4">
        <v>137326.71</v>
      </c>
      <c r="E943" s="4">
        <v>45775.57</v>
      </c>
      <c r="F943" s="4">
        <v>100474.88400000001</v>
      </c>
    </row>
    <row r="944" spans="1:6" x14ac:dyDescent="0.2">
      <c r="A944" s="3" t="s">
        <v>13</v>
      </c>
      <c r="B944" s="3" t="s">
        <v>21</v>
      </c>
      <c r="C944" s="3">
        <v>42353.73</v>
      </c>
      <c r="D944" s="4">
        <v>127061.19</v>
      </c>
      <c r="E944" s="4">
        <v>42353.73</v>
      </c>
      <c r="F944" s="4">
        <v>100474.88400000001</v>
      </c>
    </row>
    <row r="945" spans="1:6" x14ac:dyDescent="0.2">
      <c r="A945" s="3" t="s">
        <v>7</v>
      </c>
      <c r="B945" s="3" t="s">
        <v>17</v>
      </c>
      <c r="C945" s="3">
        <v>67840.09</v>
      </c>
      <c r="D945" s="4">
        <v>203520.27</v>
      </c>
      <c r="E945" s="4">
        <v>67840.09</v>
      </c>
      <c r="F945" s="4">
        <v>83740.842000000004</v>
      </c>
    </row>
    <row r="946" spans="1:6" x14ac:dyDescent="0.2">
      <c r="A946" s="3" t="s">
        <v>9</v>
      </c>
      <c r="B946" s="3" t="s">
        <v>17</v>
      </c>
      <c r="C946" s="3">
        <v>72301.429999999993</v>
      </c>
      <c r="D946" s="4">
        <v>216904.29</v>
      </c>
      <c r="E946" s="4">
        <v>72301.429999999993</v>
      </c>
      <c r="F946" s="4">
        <v>83740.842000000004</v>
      </c>
    </row>
    <row r="947" spans="1:6" x14ac:dyDescent="0.2">
      <c r="A947" s="3" t="s">
        <v>10</v>
      </c>
      <c r="B947" s="3" t="s">
        <v>17</v>
      </c>
      <c r="C947" s="3">
        <v>53139.08</v>
      </c>
      <c r="D947" s="4">
        <v>159417.24</v>
      </c>
      <c r="E947" s="4">
        <v>53139.08</v>
      </c>
      <c r="F947" s="4">
        <v>83740.842000000004</v>
      </c>
    </row>
    <row r="948" spans="1:6" x14ac:dyDescent="0.2">
      <c r="A948" s="3" t="s">
        <v>11</v>
      </c>
      <c r="B948" s="3" t="s">
        <v>17</v>
      </c>
      <c r="C948" s="3">
        <v>79846.37</v>
      </c>
      <c r="D948" s="4">
        <v>239539.11</v>
      </c>
      <c r="E948" s="4">
        <v>79846.37</v>
      </c>
      <c r="F948" s="4">
        <v>83740.842000000004</v>
      </c>
    </row>
    <row r="949" spans="1:6" x14ac:dyDescent="0.2">
      <c r="A949" s="3" t="s">
        <v>12</v>
      </c>
      <c r="B949" s="3" t="s">
        <v>17</v>
      </c>
      <c r="C949" s="3">
        <v>54667.5</v>
      </c>
      <c r="D949" s="4">
        <v>164002.5</v>
      </c>
      <c r="E949" s="4">
        <v>54667.5</v>
      </c>
      <c r="F949" s="4">
        <v>83740.842000000004</v>
      </c>
    </row>
    <row r="950" spans="1:6" x14ac:dyDescent="0.2">
      <c r="A950" s="3" t="s">
        <v>13</v>
      </c>
      <c r="B950" s="3" t="s">
        <v>17</v>
      </c>
      <c r="C950" s="3">
        <v>63699.55</v>
      </c>
      <c r="D950" s="4">
        <v>191098.65</v>
      </c>
      <c r="E950" s="4">
        <v>63699.55</v>
      </c>
      <c r="F950" s="4">
        <v>83740.842000000004</v>
      </c>
    </row>
    <row r="951" spans="1:6" x14ac:dyDescent="0.2">
      <c r="A951" s="3" t="s">
        <v>7</v>
      </c>
      <c r="B951" s="3" t="s">
        <v>15</v>
      </c>
      <c r="C951" s="3">
        <v>44473.24</v>
      </c>
      <c r="D951" s="4">
        <v>133419.72</v>
      </c>
      <c r="E951" s="4">
        <v>44473.24</v>
      </c>
      <c r="F951" s="4">
        <v>95796.692999999999</v>
      </c>
    </row>
    <row r="952" spans="1:6" x14ac:dyDescent="0.2">
      <c r="A952" s="3" t="s">
        <v>9</v>
      </c>
      <c r="B952" s="3" t="s">
        <v>15</v>
      </c>
      <c r="C952" s="3">
        <v>46162.49</v>
      </c>
      <c r="D952" s="4">
        <v>138487.47</v>
      </c>
      <c r="E952" s="4">
        <v>46162.49</v>
      </c>
      <c r="F952" s="4">
        <v>95796.692999999999</v>
      </c>
    </row>
    <row r="953" spans="1:6" x14ac:dyDescent="0.2">
      <c r="A953" s="3" t="s">
        <v>10</v>
      </c>
      <c r="B953" s="3" t="s">
        <v>15</v>
      </c>
      <c r="C953" s="3">
        <v>45350.69</v>
      </c>
      <c r="D953" s="4">
        <v>136052.07</v>
      </c>
      <c r="E953" s="4">
        <v>45350.69</v>
      </c>
      <c r="F953" s="4">
        <v>95796.692999999999</v>
      </c>
    </row>
    <row r="954" spans="1:6" x14ac:dyDescent="0.2">
      <c r="A954" s="3" t="s">
        <v>11</v>
      </c>
      <c r="B954" s="3" t="s">
        <v>15</v>
      </c>
      <c r="C954" s="3">
        <v>60589.71</v>
      </c>
      <c r="D954" s="4">
        <v>181769.13</v>
      </c>
      <c r="E954" s="4">
        <v>60589.71</v>
      </c>
      <c r="F954" s="4">
        <v>95796.692999999999</v>
      </c>
    </row>
    <row r="955" spans="1:6" x14ac:dyDescent="0.2">
      <c r="A955" s="3" t="s">
        <v>12</v>
      </c>
      <c r="B955" s="3" t="s">
        <v>15</v>
      </c>
      <c r="C955" s="3">
        <v>60532.94</v>
      </c>
      <c r="D955" s="4">
        <v>181598.82</v>
      </c>
      <c r="E955" s="4">
        <v>60532.94</v>
      </c>
      <c r="F955" s="4">
        <v>95796.692999999999</v>
      </c>
    </row>
    <row r="956" spans="1:6" x14ac:dyDescent="0.2">
      <c r="A956" s="3" t="s">
        <v>13</v>
      </c>
      <c r="B956" s="3" t="s">
        <v>15</v>
      </c>
      <c r="C956" s="3">
        <v>63357.95</v>
      </c>
      <c r="D956" s="4">
        <v>190073.85</v>
      </c>
      <c r="E956" s="4">
        <v>63357.95</v>
      </c>
      <c r="F956" s="4">
        <v>95796.692999999999</v>
      </c>
    </row>
    <row r="957" spans="1:6" x14ac:dyDescent="0.2">
      <c r="A957" s="3" t="s">
        <v>7</v>
      </c>
      <c r="B957" s="3" t="s">
        <v>16</v>
      </c>
      <c r="C957" s="3">
        <v>54883.42</v>
      </c>
      <c r="D957" s="4">
        <v>164650.26</v>
      </c>
      <c r="E957" s="4">
        <v>54883.42</v>
      </c>
      <c r="F957" s="4">
        <v>94304.313000000009</v>
      </c>
    </row>
    <row r="958" spans="1:6" x14ac:dyDescent="0.2">
      <c r="A958" s="3" t="s">
        <v>9</v>
      </c>
      <c r="B958" s="3" t="s">
        <v>16</v>
      </c>
      <c r="C958" s="3">
        <v>61966.39</v>
      </c>
      <c r="D958" s="4">
        <v>185899.17</v>
      </c>
      <c r="E958" s="4">
        <v>61966.39</v>
      </c>
      <c r="F958" s="4">
        <v>94304.313000000009</v>
      </c>
    </row>
    <row r="959" spans="1:6" x14ac:dyDescent="0.2">
      <c r="A959" s="3" t="s">
        <v>10</v>
      </c>
      <c r="B959" s="3" t="s">
        <v>16</v>
      </c>
      <c r="C959" s="3">
        <v>40360.01</v>
      </c>
      <c r="D959" s="4">
        <v>121080.03</v>
      </c>
      <c r="E959" s="4">
        <v>40360.01</v>
      </c>
      <c r="F959" s="4">
        <v>94304.313000000009</v>
      </c>
    </row>
    <row r="960" spans="1:6" x14ac:dyDescent="0.2">
      <c r="A960" s="3" t="s">
        <v>11</v>
      </c>
      <c r="B960" s="3" t="s">
        <v>16</v>
      </c>
      <c r="C960" s="3">
        <v>56509.13</v>
      </c>
      <c r="D960" s="4">
        <v>169527.39</v>
      </c>
      <c r="E960" s="4">
        <v>56509.13</v>
      </c>
      <c r="F960" s="4">
        <v>94304.313000000009</v>
      </c>
    </row>
    <row r="961" spans="1:6" x14ac:dyDescent="0.2">
      <c r="A961" s="3" t="s">
        <v>12</v>
      </c>
      <c r="B961" s="3" t="s">
        <v>16</v>
      </c>
      <c r="C961" s="3">
        <v>68247.149999999994</v>
      </c>
      <c r="D961" s="4">
        <v>204741.45</v>
      </c>
      <c r="E961" s="4">
        <v>68247.149999999994</v>
      </c>
      <c r="F961" s="4">
        <v>94304.313000000009</v>
      </c>
    </row>
    <row r="962" spans="1:6" x14ac:dyDescent="0.2">
      <c r="A962" s="3" t="s">
        <v>13</v>
      </c>
      <c r="B962" s="3" t="s">
        <v>16</v>
      </c>
      <c r="C962" s="3">
        <v>68776.95</v>
      </c>
      <c r="D962" s="4">
        <v>206330.85</v>
      </c>
      <c r="E962" s="4">
        <v>68776.95</v>
      </c>
      <c r="F962" s="4">
        <v>94304.313000000009</v>
      </c>
    </row>
    <row r="963" spans="1:6" x14ac:dyDescent="0.2">
      <c r="A963" s="3" t="s">
        <v>7</v>
      </c>
      <c r="B963" s="3" t="s">
        <v>14</v>
      </c>
      <c r="C963" s="3">
        <v>47335.37</v>
      </c>
      <c r="D963" s="4">
        <v>142006.10999999999</v>
      </c>
      <c r="E963" s="4">
        <v>47335.37</v>
      </c>
      <c r="F963" s="4">
        <v>92194.631999999998</v>
      </c>
    </row>
    <row r="964" spans="1:6" x14ac:dyDescent="0.2">
      <c r="A964" s="3" t="s">
        <v>9</v>
      </c>
      <c r="B964" s="3" t="s">
        <v>14</v>
      </c>
      <c r="C964" s="3">
        <v>43326.239999999998</v>
      </c>
      <c r="D964" s="4">
        <v>129978.72</v>
      </c>
      <c r="E964" s="4">
        <v>43326.239999999998</v>
      </c>
      <c r="F964" s="4">
        <v>92194.631999999998</v>
      </c>
    </row>
    <row r="965" spans="1:6" x14ac:dyDescent="0.2">
      <c r="A965" s="3" t="s">
        <v>10</v>
      </c>
      <c r="B965" s="3" t="s">
        <v>14</v>
      </c>
      <c r="C965" s="3">
        <v>33551.360000000001</v>
      </c>
      <c r="D965" s="4">
        <v>100654.08</v>
      </c>
      <c r="E965" s="4">
        <v>33551.360000000001</v>
      </c>
      <c r="F965" s="4">
        <v>92194.631999999998</v>
      </c>
    </row>
    <row r="966" spans="1:6" x14ac:dyDescent="0.2">
      <c r="A966" s="3" t="s">
        <v>11</v>
      </c>
      <c r="B966" s="3" t="s">
        <v>14</v>
      </c>
      <c r="C966" s="3">
        <v>42921.48</v>
      </c>
      <c r="D966" s="4">
        <v>128764.44</v>
      </c>
      <c r="E966" s="4">
        <v>42921.48</v>
      </c>
      <c r="F966" s="4">
        <v>92194.631999999998</v>
      </c>
    </row>
    <row r="967" spans="1:6" x14ac:dyDescent="0.2">
      <c r="A967" s="3" t="s">
        <v>12</v>
      </c>
      <c r="B967" s="3" t="s">
        <v>14</v>
      </c>
      <c r="C967" s="3">
        <v>51623.35</v>
      </c>
      <c r="D967" s="4">
        <v>154870.04999999999</v>
      </c>
      <c r="E967" s="4">
        <v>51623.35</v>
      </c>
      <c r="F967" s="4">
        <v>92194.631999999998</v>
      </c>
    </row>
    <row r="968" spans="1:6" x14ac:dyDescent="0.2">
      <c r="A968" s="3" t="s">
        <v>13</v>
      </c>
      <c r="B968" s="3" t="s">
        <v>14</v>
      </c>
      <c r="C968" s="3">
        <v>49246.35</v>
      </c>
      <c r="D968" s="4">
        <v>147739.04999999999</v>
      </c>
      <c r="E968" s="4">
        <v>49246.35</v>
      </c>
      <c r="F968" s="4">
        <v>92194.631999999998</v>
      </c>
    </row>
    <row r="969" spans="1:6" x14ac:dyDescent="0.2">
      <c r="A969" s="3" t="s">
        <v>7</v>
      </c>
      <c r="B969" s="3" t="s">
        <v>14</v>
      </c>
      <c r="C969" s="3">
        <v>66333.5</v>
      </c>
      <c r="D969" s="4">
        <v>199000.5</v>
      </c>
      <c r="E969" s="4">
        <v>66333.5</v>
      </c>
      <c r="F969" s="4">
        <v>92194.631999999998</v>
      </c>
    </row>
    <row r="970" spans="1:6" x14ac:dyDescent="0.2">
      <c r="A970" s="3" t="s">
        <v>9</v>
      </c>
      <c r="B970" s="3" t="s">
        <v>14</v>
      </c>
      <c r="C970" s="3">
        <v>73674.31</v>
      </c>
      <c r="D970" s="4">
        <v>221022.93</v>
      </c>
      <c r="E970" s="4">
        <v>73674.31</v>
      </c>
      <c r="F970" s="4">
        <v>92194.631999999998</v>
      </c>
    </row>
    <row r="971" spans="1:6" x14ac:dyDescent="0.2">
      <c r="A971" s="3" t="s">
        <v>10</v>
      </c>
      <c r="B971" s="3" t="s">
        <v>14</v>
      </c>
      <c r="C971" s="3">
        <v>54733.82</v>
      </c>
      <c r="D971" s="4">
        <v>164201.46</v>
      </c>
      <c r="E971" s="4">
        <v>54733.82</v>
      </c>
      <c r="F971" s="4">
        <v>92194.631999999998</v>
      </c>
    </row>
    <row r="972" spans="1:6" x14ac:dyDescent="0.2">
      <c r="A972" s="3" t="s">
        <v>11</v>
      </c>
      <c r="B972" s="3" t="s">
        <v>14</v>
      </c>
      <c r="C972" s="3">
        <v>59469.13</v>
      </c>
      <c r="D972" s="4">
        <v>178407.39</v>
      </c>
      <c r="E972" s="4">
        <v>59469.13</v>
      </c>
      <c r="F972" s="4">
        <v>92194.631999999998</v>
      </c>
    </row>
    <row r="973" spans="1:6" x14ac:dyDescent="0.2">
      <c r="A973" s="3" t="s">
        <v>12</v>
      </c>
      <c r="B973" s="3" t="s">
        <v>14</v>
      </c>
      <c r="C973" s="3">
        <v>71607.81</v>
      </c>
      <c r="D973" s="4">
        <v>214823.43</v>
      </c>
      <c r="E973" s="4">
        <v>71607.81</v>
      </c>
      <c r="F973" s="4">
        <v>92194.631999999998</v>
      </c>
    </row>
    <row r="974" spans="1:6" x14ac:dyDescent="0.2">
      <c r="A974" s="3" t="s">
        <v>13</v>
      </c>
      <c r="B974" s="3" t="s">
        <v>14</v>
      </c>
      <c r="C974" s="3">
        <v>79068.399999999994</v>
      </c>
      <c r="D974" s="4">
        <v>237205.2</v>
      </c>
      <c r="E974" s="4">
        <v>79068.399999999994</v>
      </c>
      <c r="F974" s="4">
        <v>92194.631999999998</v>
      </c>
    </row>
    <row r="975" spans="1:6" x14ac:dyDescent="0.2">
      <c r="A975" s="3" t="s">
        <v>7</v>
      </c>
      <c r="B975" s="3" t="s">
        <v>19</v>
      </c>
      <c r="C975" s="3">
        <v>68761.399999999994</v>
      </c>
      <c r="D975" s="4">
        <v>206284.2</v>
      </c>
      <c r="E975" s="4">
        <v>68761.399999999994</v>
      </c>
      <c r="F975" s="4">
        <v>101747.052</v>
      </c>
    </row>
    <row r="976" spans="1:6" x14ac:dyDescent="0.2">
      <c r="A976" s="3" t="s">
        <v>9</v>
      </c>
      <c r="B976" s="3" t="s">
        <v>19</v>
      </c>
      <c r="C976" s="3">
        <v>70896.160000000003</v>
      </c>
      <c r="D976" s="4">
        <v>212688.48</v>
      </c>
      <c r="E976" s="4">
        <v>70896.160000000003</v>
      </c>
      <c r="F976" s="4">
        <v>101747.052</v>
      </c>
    </row>
    <row r="977" spans="1:6" x14ac:dyDescent="0.2">
      <c r="A977" s="3" t="s">
        <v>10</v>
      </c>
      <c r="B977" s="3" t="s">
        <v>19</v>
      </c>
      <c r="C977" s="3">
        <v>75214.41</v>
      </c>
      <c r="D977" s="4">
        <v>225643.23</v>
      </c>
      <c r="E977" s="4">
        <v>75214.41</v>
      </c>
      <c r="F977" s="4">
        <v>101747.052</v>
      </c>
    </row>
    <row r="978" spans="1:6" x14ac:dyDescent="0.2">
      <c r="A978" s="3" t="s">
        <v>11</v>
      </c>
      <c r="B978" s="3" t="s">
        <v>19</v>
      </c>
      <c r="C978" s="3">
        <v>53368.22</v>
      </c>
      <c r="D978" s="4">
        <v>160104.66</v>
      </c>
      <c r="E978" s="4">
        <v>53368.22</v>
      </c>
      <c r="F978" s="4">
        <v>101747.052</v>
      </c>
    </row>
    <row r="979" spans="1:6" x14ac:dyDescent="0.2">
      <c r="A979" s="3" t="s">
        <v>12</v>
      </c>
      <c r="B979" s="3" t="s">
        <v>19</v>
      </c>
      <c r="C979" s="3">
        <v>64988.01</v>
      </c>
      <c r="D979" s="4">
        <v>194964.03</v>
      </c>
      <c r="E979" s="4">
        <v>64988.01</v>
      </c>
      <c r="F979" s="4">
        <v>101747.052</v>
      </c>
    </row>
    <row r="980" spans="1:6" x14ac:dyDescent="0.2">
      <c r="A980" s="3" t="s">
        <v>13</v>
      </c>
      <c r="B980" s="3" t="s">
        <v>19</v>
      </c>
      <c r="C980" s="3">
        <v>64183.63</v>
      </c>
      <c r="D980" s="4">
        <v>192550.89</v>
      </c>
      <c r="E980" s="4">
        <v>64183.63</v>
      </c>
      <c r="F980" s="4">
        <v>101747.052</v>
      </c>
    </row>
    <row r="981" spans="1:6" x14ac:dyDescent="0.2">
      <c r="A981" s="3" t="s">
        <v>7</v>
      </c>
      <c r="B981" s="3" t="s">
        <v>16</v>
      </c>
      <c r="C981" s="3">
        <v>95138.28</v>
      </c>
      <c r="D981" s="4">
        <v>285414.84000000003</v>
      </c>
      <c r="E981" s="4">
        <v>95138.28</v>
      </c>
      <c r="F981" s="4">
        <v>94304.313000000009</v>
      </c>
    </row>
    <row r="982" spans="1:6" x14ac:dyDescent="0.2">
      <c r="A982" s="3" t="s">
        <v>9</v>
      </c>
      <c r="B982" s="3" t="s">
        <v>16</v>
      </c>
      <c r="C982" s="3">
        <v>94198.33</v>
      </c>
      <c r="D982" s="4">
        <v>282594.99</v>
      </c>
      <c r="E982" s="4">
        <v>94198.33</v>
      </c>
      <c r="F982" s="4">
        <v>94304.313000000009</v>
      </c>
    </row>
    <row r="983" spans="1:6" x14ac:dyDescent="0.2">
      <c r="A983" s="3" t="s">
        <v>10</v>
      </c>
      <c r="B983" s="3" t="s">
        <v>16</v>
      </c>
      <c r="C983" s="3">
        <v>70083.240000000005</v>
      </c>
      <c r="D983" s="4">
        <v>210249.72</v>
      </c>
      <c r="E983" s="4">
        <v>70083.240000000005</v>
      </c>
      <c r="F983" s="4">
        <v>94304.313000000009</v>
      </c>
    </row>
    <row r="984" spans="1:6" x14ac:dyDescent="0.2">
      <c r="A984" s="3" t="s">
        <v>11</v>
      </c>
      <c r="B984" s="3" t="s">
        <v>16</v>
      </c>
      <c r="C984" s="3">
        <v>90212.86</v>
      </c>
      <c r="D984" s="4">
        <v>270638.58</v>
      </c>
      <c r="E984" s="4">
        <v>90212.86</v>
      </c>
      <c r="F984" s="4">
        <v>94304.313000000009</v>
      </c>
    </row>
    <row r="985" spans="1:6" x14ac:dyDescent="0.2">
      <c r="A985" s="3" t="s">
        <v>12</v>
      </c>
      <c r="B985" s="3" t="s">
        <v>16</v>
      </c>
      <c r="C985" s="3">
        <v>99647.16</v>
      </c>
      <c r="D985" s="4">
        <v>298941.48</v>
      </c>
      <c r="E985" s="4">
        <v>99647.16</v>
      </c>
      <c r="F985" s="4">
        <v>94304.313000000009</v>
      </c>
    </row>
    <row r="986" spans="1:6" x14ac:dyDescent="0.2">
      <c r="A986" s="3" t="s">
        <v>13</v>
      </c>
      <c r="B986" s="3" t="s">
        <v>16</v>
      </c>
      <c r="C986" s="3">
        <v>104782.57</v>
      </c>
      <c r="D986" s="4">
        <v>314347.71000000002</v>
      </c>
      <c r="E986" s="4">
        <v>104782.57</v>
      </c>
      <c r="F986" s="4">
        <v>94304.313000000009</v>
      </c>
    </row>
    <row r="987" spans="1:6" x14ac:dyDescent="0.2">
      <c r="A987" s="3" t="s">
        <v>7</v>
      </c>
      <c r="B987" s="3" t="s">
        <v>21</v>
      </c>
      <c r="C987" s="3">
        <v>71522.039999999994</v>
      </c>
      <c r="D987" s="4">
        <v>214566.12</v>
      </c>
      <c r="E987" s="4">
        <v>71522.039999999994</v>
      </c>
      <c r="F987" s="4">
        <v>100474.88400000001</v>
      </c>
    </row>
    <row r="988" spans="1:6" x14ac:dyDescent="0.2">
      <c r="A988" s="3" t="s">
        <v>9</v>
      </c>
      <c r="B988" s="3" t="s">
        <v>21</v>
      </c>
      <c r="C988" s="3">
        <v>52325.64</v>
      </c>
      <c r="D988" s="4">
        <v>156976.92000000001</v>
      </c>
      <c r="E988" s="4">
        <v>52325.64</v>
      </c>
      <c r="F988" s="4">
        <v>100474.88400000001</v>
      </c>
    </row>
    <row r="989" spans="1:6" x14ac:dyDescent="0.2">
      <c r="A989" s="3" t="s">
        <v>10</v>
      </c>
      <c r="B989" s="3" t="s">
        <v>21</v>
      </c>
      <c r="C989" s="3">
        <v>53006.98</v>
      </c>
      <c r="D989" s="4">
        <v>159020.94</v>
      </c>
      <c r="E989" s="4">
        <v>53006.98</v>
      </c>
      <c r="F989" s="4">
        <v>100474.88400000001</v>
      </c>
    </row>
    <row r="990" spans="1:6" x14ac:dyDescent="0.2">
      <c r="A990" s="3" t="s">
        <v>11</v>
      </c>
      <c r="B990" s="3" t="s">
        <v>21</v>
      </c>
      <c r="C990" s="3">
        <v>49904</v>
      </c>
      <c r="D990" s="4">
        <v>149712</v>
      </c>
      <c r="E990" s="4">
        <v>49904</v>
      </c>
      <c r="F990" s="4">
        <v>100474.88400000001</v>
      </c>
    </row>
    <row r="991" spans="1:6" x14ac:dyDescent="0.2">
      <c r="A991" s="3" t="s">
        <v>12</v>
      </c>
      <c r="B991" s="3" t="s">
        <v>21</v>
      </c>
      <c r="C991" s="3">
        <v>52347.519999999997</v>
      </c>
      <c r="D991" s="4">
        <v>157042.56</v>
      </c>
      <c r="E991" s="4">
        <v>52347.519999999997</v>
      </c>
      <c r="F991" s="4">
        <v>100474.88400000001</v>
      </c>
    </row>
    <row r="992" spans="1:6" x14ac:dyDescent="0.2">
      <c r="A992" s="3" t="s">
        <v>13</v>
      </c>
      <c r="B992" s="3" t="s">
        <v>21</v>
      </c>
      <c r="C992" s="3">
        <v>77650.12</v>
      </c>
      <c r="D992" s="4">
        <v>232950.36</v>
      </c>
      <c r="E992" s="4">
        <v>77650.12</v>
      </c>
      <c r="F992" s="4">
        <v>100474.88400000001</v>
      </c>
    </row>
    <row r="993" spans="1:6" x14ac:dyDescent="0.2">
      <c r="A993" s="3" t="s">
        <v>7</v>
      </c>
      <c r="B993" s="3" t="s">
        <v>20</v>
      </c>
      <c r="C993" s="3">
        <v>64184.2</v>
      </c>
      <c r="D993" s="4">
        <v>192552.6</v>
      </c>
      <c r="E993" s="4">
        <v>64184.2</v>
      </c>
      <c r="F993" s="4">
        <v>92182.01400000001</v>
      </c>
    </row>
    <row r="994" spans="1:6" x14ac:dyDescent="0.2">
      <c r="A994" s="3" t="s">
        <v>9</v>
      </c>
      <c r="B994" s="3" t="s">
        <v>20</v>
      </c>
      <c r="C994" s="3">
        <v>64795.74</v>
      </c>
      <c r="D994" s="4">
        <v>194387.22</v>
      </c>
      <c r="E994" s="4">
        <v>64795.74</v>
      </c>
      <c r="F994" s="4">
        <v>92182.01400000001</v>
      </c>
    </row>
    <row r="995" spans="1:6" x14ac:dyDescent="0.2">
      <c r="A995" s="3" t="s">
        <v>10</v>
      </c>
      <c r="B995" s="3" t="s">
        <v>20</v>
      </c>
      <c r="C995" s="3">
        <v>52424.54</v>
      </c>
      <c r="D995" s="4">
        <v>157273.62</v>
      </c>
      <c r="E995" s="4">
        <v>52424.54</v>
      </c>
      <c r="F995" s="4">
        <v>92182.01400000001</v>
      </c>
    </row>
    <row r="996" spans="1:6" x14ac:dyDescent="0.2">
      <c r="A996" s="3" t="s">
        <v>11</v>
      </c>
      <c r="B996" s="3" t="s">
        <v>20</v>
      </c>
      <c r="C996" s="3">
        <v>55609.79</v>
      </c>
      <c r="D996" s="4">
        <v>166829.37</v>
      </c>
      <c r="E996" s="4">
        <v>55609.79</v>
      </c>
      <c r="F996" s="4">
        <v>92182.01400000001</v>
      </c>
    </row>
    <row r="997" spans="1:6" x14ac:dyDescent="0.2">
      <c r="A997" s="3" t="s">
        <v>12</v>
      </c>
      <c r="B997" s="3" t="s">
        <v>20</v>
      </c>
      <c r="C997" s="3">
        <v>58136.13</v>
      </c>
      <c r="D997" s="4">
        <v>174408.39</v>
      </c>
      <c r="E997" s="4">
        <v>58136.13</v>
      </c>
      <c r="F997" s="4">
        <v>92182.01400000001</v>
      </c>
    </row>
    <row r="998" spans="1:6" x14ac:dyDescent="0.2">
      <c r="A998" s="3" t="s">
        <v>13</v>
      </c>
      <c r="B998" s="3" t="s">
        <v>20</v>
      </c>
      <c r="C998" s="3">
        <v>54886.6</v>
      </c>
      <c r="D998" s="4">
        <v>164659.79999999999</v>
      </c>
      <c r="E998" s="4">
        <v>54886.6</v>
      </c>
      <c r="F998" s="4">
        <v>92182.01400000001</v>
      </c>
    </row>
    <row r="999" spans="1:6" x14ac:dyDescent="0.2">
      <c r="A999" s="3" t="s">
        <v>7</v>
      </c>
      <c r="B999" s="3" t="s">
        <v>15</v>
      </c>
      <c r="C999" s="3">
        <v>46362.18</v>
      </c>
      <c r="D999" s="4">
        <v>139086.54</v>
      </c>
      <c r="E999" s="4">
        <v>46362.18</v>
      </c>
      <c r="F999" s="4">
        <v>95796.692999999999</v>
      </c>
    </row>
    <row r="1000" spans="1:6" x14ac:dyDescent="0.2">
      <c r="A1000" s="3" t="s">
        <v>9</v>
      </c>
      <c r="B1000" s="3" t="s">
        <v>15</v>
      </c>
      <c r="C1000" s="3">
        <v>48458.8</v>
      </c>
      <c r="D1000" s="4">
        <v>145376.4</v>
      </c>
      <c r="E1000" s="4">
        <v>48458.8</v>
      </c>
      <c r="F1000" s="4">
        <v>95796.692999999999</v>
      </c>
    </row>
    <row r="1001" spans="1:6" x14ac:dyDescent="0.2">
      <c r="A1001" s="3" t="s">
        <v>10</v>
      </c>
      <c r="B1001" s="3" t="s">
        <v>15</v>
      </c>
      <c r="C1001" s="3">
        <v>40328.86</v>
      </c>
      <c r="D1001" s="4">
        <v>120986.58</v>
      </c>
      <c r="E1001" s="4">
        <v>40328.86</v>
      </c>
      <c r="F1001" s="4">
        <v>95796.692999999999</v>
      </c>
    </row>
    <row r="1002" spans="1:6" x14ac:dyDescent="0.2">
      <c r="A1002" s="3" t="s">
        <v>11</v>
      </c>
      <c r="B1002" s="3" t="s">
        <v>15</v>
      </c>
      <c r="C1002" s="3">
        <v>52328.01</v>
      </c>
      <c r="D1002" s="4">
        <v>156984.03</v>
      </c>
      <c r="E1002" s="4">
        <v>52328.01</v>
      </c>
      <c r="F1002" s="4">
        <v>95796.692999999999</v>
      </c>
    </row>
    <row r="1003" spans="1:6" x14ac:dyDescent="0.2">
      <c r="A1003" s="3" t="s">
        <v>12</v>
      </c>
      <c r="B1003" s="3" t="s">
        <v>15</v>
      </c>
      <c r="C1003" s="3">
        <v>56357.02</v>
      </c>
      <c r="D1003" s="4">
        <v>169071.06</v>
      </c>
      <c r="E1003" s="4">
        <v>56357.02</v>
      </c>
      <c r="F1003" s="4">
        <v>95796.692999999999</v>
      </c>
    </row>
    <row r="1004" spans="1:6" x14ac:dyDescent="0.2">
      <c r="A1004" s="3" t="s">
        <v>13</v>
      </c>
      <c r="B1004" s="3" t="s">
        <v>15</v>
      </c>
      <c r="C1004" s="3">
        <v>50292.38</v>
      </c>
      <c r="D1004" s="4">
        <v>150877.14000000001</v>
      </c>
      <c r="E1004" s="4">
        <v>50292.38</v>
      </c>
      <c r="F1004" s="4">
        <v>95796.692999999999</v>
      </c>
    </row>
    <row r="1005" spans="1:6" x14ac:dyDescent="0.2">
      <c r="A1005" s="3" t="s">
        <v>7</v>
      </c>
      <c r="B1005" s="3" t="s">
        <v>16</v>
      </c>
      <c r="C1005" s="3">
        <v>51775.11</v>
      </c>
      <c r="D1005" s="4">
        <v>155325.32999999999</v>
      </c>
      <c r="E1005" s="4">
        <v>51775.11</v>
      </c>
      <c r="F1005" s="4">
        <v>94304.313000000009</v>
      </c>
    </row>
    <row r="1006" spans="1:6" x14ac:dyDescent="0.2">
      <c r="A1006" s="3" t="s">
        <v>9</v>
      </c>
      <c r="B1006" s="3" t="s">
        <v>16</v>
      </c>
      <c r="C1006" s="3">
        <v>77804.67</v>
      </c>
      <c r="D1006" s="4">
        <v>233414.01</v>
      </c>
      <c r="E1006" s="4">
        <v>77804.67</v>
      </c>
      <c r="F1006" s="4">
        <v>94304.313000000009</v>
      </c>
    </row>
    <row r="1007" spans="1:6" x14ac:dyDescent="0.2">
      <c r="A1007" s="3" t="s">
        <v>10</v>
      </c>
      <c r="B1007" s="3" t="s">
        <v>16</v>
      </c>
      <c r="C1007" s="3">
        <v>76183.490000000005</v>
      </c>
      <c r="D1007" s="4">
        <v>228550.47</v>
      </c>
      <c r="E1007" s="4">
        <v>76183.490000000005</v>
      </c>
      <c r="F1007" s="4">
        <v>94304.313000000009</v>
      </c>
    </row>
    <row r="1008" spans="1:6" x14ac:dyDescent="0.2">
      <c r="A1008" s="3" t="s">
        <v>11</v>
      </c>
      <c r="B1008" s="3" t="s">
        <v>16</v>
      </c>
      <c r="C1008" s="3">
        <v>57184.26</v>
      </c>
      <c r="D1008" s="4">
        <v>171552.78</v>
      </c>
      <c r="E1008" s="4">
        <v>57184.26</v>
      </c>
      <c r="F1008" s="4">
        <v>94304.313000000009</v>
      </c>
    </row>
    <row r="1009" spans="1:6" x14ac:dyDescent="0.2">
      <c r="A1009" s="3" t="s">
        <v>12</v>
      </c>
      <c r="B1009" s="3" t="s">
        <v>16</v>
      </c>
      <c r="C1009" s="3">
        <v>80851.58</v>
      </c>
      <c r="D1009" s="4">
        <v>242554.74</v>
      </c>
      <c r="E1009" s="4">
        <v>80851.58</v>
      </c>
      <c r="F1009" s="4">
        <v>94304.313000000009</v>
      </c>
    </row>
    <row r="1010" spans="1:6" x14ac:dyDescent="0.2">
      <c r="A1010" s="3" t="s">
        <v>13</v>
      </c>
      <c r="B1010" s="3" t="s">
        <v>16</v>
      </c>
      <c r="C1010" s="3">
        <v>54451.55</v>
      </c>
      <c r="D1010" s="4">
        <v>163354.65</v>
      </c>
      <c r="E1010" s="4">
        <v>54451.55</v>
      </c>
      <c r="F1010" s="4">
        <v>94304.313000000009</v>
      </c>
    </row>
    <row r="1011" spans="1:6" x14ac:dyDescent="0.2">
      <c r="A1011" s="3" t="s">
        <v>7</v>
      </c>
      <c r="B1011" s="3" t="s">
        <v>8</v>
      </c>
      <c r="C1011" s="3">
        <v>36768.28</v>
      </c>
      <c r="D1011" s="4">
        <v>110304.84</v>
      </c>
      <c r="E1011" s="4">
        <v>36768.28</v>
      </c>
      <c r="F1011" s="4">
        <v>91734.462</v>
      </c>
    </row>
    <row r="1012" spans="1:6" x14ac:dyDescent="0.2">
      <c r="A1012" s="3" t="s">
        <v>9</v>
      </c>
      <c r="B1012" s="3" t="s">
        <v>8</v>
      </c>
      <c r="C1012" s="3">
        <v>38460.89</v>
      </c>
      <c r="D1012" s="4">
        <v>115382.67</v>
      </c>
      <c r="E1012" s="4">
        <v>38460.89</v>
      </c>
      <c r="F1012" s="4">
        <v>91734.462</v>
      </c>
    </row>
    <row r="1013" spans="1:6" x14ac:dyDescent="0.2">
      <c r="A1013" s="3" t="s">
        <v>10</v>
      </c>
      <c r="B1013" s="3" t="s">
        <v>8</v>
      </c>
      <c r="C1013" s="3">
        <v>40179.82</v>
      </c>
      <c r="D1013" s="4">
        <v>120539.46</v>
      </c>
      <c r="E1013" s="4">
        <v>40179.82</v>
      </c>
      <c r="F1013" s="4">
        <v>91734.462</v>
      </c>
    </row>
    <row r="1014" spans="1:6" x14ac:dyDescent="0.2">
      <c r="A1014" s="3" t="s">
        <v>11</v>
      </c>
      <c r="B1014" s="3" t="s">
        <v>8</v>
      </c>
      <c r="C1014" s="3">
        <v>48066.66</v>
      </c>
      <c r="D1014" s="4">
        <v>144199.98000000001</v>
      </c>
      <c r="E1014" s="4">
        <v>48066.66</v>
      </c>
      <c r="F1014" s="4">
        <v>91734.462</v>
      </c>
    </row>
    <row r="1015" spans="1:6" x14ac:dyDescent="0.2">
      <c r="A1015" s="3" t="s">
        <v>12</v>
      </c>
      <c r="B1015" s="3" t="s">
        <v>8</v>
      </c>
      <c r="C1015" s="3">
        <v>50862.96</v>
      </c>
      <c r="D1015" s="4">
        <v>152588.88</v>
      </c>
      <c r="E1015" s="4">
        <v>50862.96</v>
      </c>
      <c r="F1015" s="4">
        <v>91734.462</v>
      </c>
    </row>
    <row r="1016" spans="1:6" x14ac:dyDescent="0.2">
      <c r="A1016" s="3" t="s">
        <v>13</v>
      </c>
      <c r="B1016" s="3" t="s">
        <v>8</v>
      </c>
      <c r="C1016" s="3">
        <v>40467.79</v>
      </c>
      <c r="D1016" s="4">
        <v>121403.37</v>
      </c>
      <c r="E1016" s="4">
        <v>40467.79</v>
      </c>
      <c r="F1016" s="4">
        <v>91734.462</v>
      </c>
    </row>
    <row r="1017" spans="1:6" x14ac:dyDescent="0.2">
      <c r="A1017" s="3" t="s">
        <v>7</v>
      </c>
      <c r="B1017" s="3" t="s">
        <v>21</v>
      </c>
      <c r="C1017" s="3">
        <v>85783.91</v>
      </c>
      <c r="D1017" s="4">
        <v>257351.73</v>
      </c>
      <c r="E1017" s="4">
        <v>85783.91</v>
      </c>
      <c r="F1017" s="4">
        <v>100474.88400000001</v>
      </c>
    </row>
    <row r="1018" spans="1:6" x14ac:dyDescent="0.2">
      <c r="A1018" s="3" t="s">
        <v>9</v>
      </c>
      <c r="B1018" s="3" t="s">
        <v>21</v>
      </c>
      <c r="C1018" s="3">
        <v>92094.41</v>
      </c>
      <c r="D1018" s="4">
        <v>276283.23</v>
      </c>
      <c r="E1018" s="4">
        <v>92094.41</v>
      </c>
      <c r="F1018" s="4">
        <v>100474.88400000001</v>
      </c>
    </row>
    <row r="1019" spans="1:6" x14ac:dyDescent="0.2">
      <c r="A1019" s="3" t="s">
        <v>10</v>
      </c>
      <c r="B1019" s="3" t="s">
        <v>21</v>
      </c>
      <c r="C1019" s="3">
        <v>69019.87</v>
      </c>
      <c r="D1019" s="4">
        <v>207059.61</v>
      </c>
      <c r="E1019" s="4">
        <v>69019.87</v>
      </c>
      <c r="F1019" s="4">
        <v>100474.88400000001</v>
      </c>
    </row>
    <row r="1020" spans="1:6" x14ac:dyDescent="0.2">
      <c r="A1020" s="3" t="s">
        <v>11</v>
      </c>
      <c r="B1020" s="3" t="s">
        <v>21</v>
      </c>
      <c r="C1020" s="3">
        <v>70412.61</v>
      </c>
      <c r="D1020" s="4">
        <v>211237.83</v>
      </c>
      <c r="E1020" s="4">
        <v>70412.61</v>
      </c>
      <c r="F1020" s="4">
        <v>100474.88400000001</v>
      </c>
    </row>
    <row r="1021" spans="1:6" x14ac:dyDescent="0.2">
      <c r="A1021" s="3" t="s">
        <v>12</v>
      </c>
      <c r="B1021" s="3" t="s">
        <v>21</v>
      </c>
      <c r="C1021" s="3">
        <v>83191.460000000006</v>
      </c>
      <c r="D1021" s="4">
        <v>249574.38</v>
      </c>
      <c r="E1021" s="4">
        <v>83191.460000000006</v>
      </c>
      <c r="F1021" s="4">
        <v>100474.88400000001</v>
      </c>
    </row>
    <row r="1022" spans="1:6" x14ac:dyDescent="0.2">
      <c r="A1022" s="3" t="s">
        <v>13</v>
      </c>
      <c r="B1022" s="3" t="s">
        <v>21</v>
      </c>
      <c r="C1022" s="3">
        <v>98385.99</v>
      </c>
      <c r="D1022" s="4">
        <v>295157.96999999997</v>
      </c>
      <c r="E1022" s="4">
        <v>98385.99</v>
      </c>
      <c r="F1022" s="4">
        <v>100474.88400000001</v>
      </c>
    </row>
    <row r="1023" spans="1:6" x14ac:dyDescent="0.2">
      <c r="A1023" s="3" t="s">
        <v>7</v>
      </c>
      <c r="B1023" s="3" t="s">
        <v>15</v>
      </c>
      <c r="C1023" s="3">
        <v>51311.63</v>
      </c>
      <c r="D1023" s="4">
        <v>153934.89000000001</v>
      </c>
      <c r="E1023" s="4">
        <v>51311.63</v>
      </c>
      <c r="F1023" s="4">
        <v>95796.692999999999</v>
      </c>
    </row>
    <row r="1024" spans="1:6" x14ac:dyDescent="0.2">
      <c r="A1024" s="3" t="s">
        <v>9</v>
      </c>
      <c r="B1024" s="3" t="s">
        <v>15</v>
      </c>
      <c r="C1024" s="3">
        <v>82255.34</v>
      </c>
      <c r="D1024" s="4">
        <v>246766.02</v>
      </c>
      <c r="E1024" s="4">
        <v>82255.34</v>
      </c>
      <c r="F1024" s="4">
        <v>95796.692999999999</v>
      </c>
    </row>
    <row r="1025" spans="1:6" x14ac:dyDescent="0.2">
      <c r="A1025" s="3" t="s">
        <v>10</v>
      </c>
      <c r="B1025" s="3" t="s">
        <v>15</v>
      </c>
      <c r="C1025" s="3">
        <v>63031.29</v>
      </c>
      <c r="D1025" s="4">
        <v>189093.87</v>
      </c>
      <c r="E1025" s="4">
        <v>63031.29</v>
      </c>
      <c r="F1025" s="4">
        <v>95796.692999999999</v>
      </c>
    </row>
    <row r="1026" spans="1:6" x14ac:dyDescent="0.2">
      <c r="A1026" s="3" t="s">
        <v>11</v>
      </c>
      <c r="B1026" s="3" t="s">
        <v>15</v>
      </c>
      <c r="C1026" s="3">
        <v>60572.41</v>
      </c>
      <c r="D1026" s="4">
        <v>181717.23</v>
      </c>
      <c r="E1026" s="4">
        <v>60572.41</v>
      </c>
      <c r="F1026" s="4">
        <v>95796.692999999999</v>
      </c>
    </row>
    <row r="1027" spans="1:6" x14ac:dyDescent="0.2">
      <c r="A1027" s="3" t="s">
        <v>12</v>
      </c>
      <c r="B1027" s="3" t="s">
        <v>15</v>
      </c>
      <c r="C1027" s="3">
        <v>79083.039999999994</v>
      </c>
      <c r="D1027" s="4">
        <v>237249.12</v>
      </c>
      <c r="E1027" s="4">
        <v>79083.039999999994</v>
      </c>
      <c r="F1027" s="4">
        <v>95796.692999999999</v>
      </c>
    </row>
    <row r="1028" spans="1:6" x14ac:dyDescent="0.2">
      <c r="A1028" s="3" t="s">
        <v>13</v>
      </c>
      <c r="B1028" s="3" t="s">
        <v>15</v>
      </c>
      <c r="C1028" s="3">
        <v>89443.26</v>
      </c>
      <c r="D1028" s="4">
        <v>268329.78000000003</v>
      </c>
      <c r="E1028" s="4">
        <v>89443.26</v>
      </c>
      <c r="F1028" s="4">
        <v>95796.692999999999</v>
      </c>
    </row>
    <row r="1029" spans="1:6" x14ac:dyDescent="0.2">
      <c r="A1029" s="3" t="s">
        <v>7</v>
      </c>
      <c r="B1029" s="3" t="s">
        <v>20</v>
      </c>
      <c r="C1029" s="3">
        <v>96546.81</v>
      </c>
      <c r="D1029" s="4">
        <v>289640.43</v>
      </c>
      <c r="E1029" s="4">
        <v>96546.81</v>
      </c>
      <c r="F1029" s="4">
        <v>92182.01400000001</v>
      </c>
    </row>
    <row r="1030" spans="1:6" x14ac:dyDescent="0.2">
      <c r="A1030" s="3" t="s">
        <v>9</v>
      </c>
      <c r="B1030" s="3" t="s">
        <v>20</v>
      </c>
      <c r="C1030" s="3">
        <v>81740.5</v>
      </c>
      <c r="D1030" s="4">
        <v>245221.5</v>
      </c>
      <c r="E1030" s="4">
        <v>81740.5</v>
      </c>
      <c r="F1030" s="4">
        <v>92182.01400000001</v>
      </c>
    </row>
    <row r="1031" spans="1:6" x14ac:dyDescent="0.2">
      <c r="A1031" s="3" t="s">
        <v>10</v>
      </c>
      <c r="B1031" s="3" t="s">
        <v>20</v>
      </c>
      <c r="C1031" s="3">
        <v>102424.46</v>
      </c>
      <c r="D1031" s="4">
        <v>307273.38</v>
      </c>
      <c r="E1031" s="4">
        <v>102424.46</v>
      </c>
      <c r="F1031" s="4">
        <v>92182.01400000001</v>
      </c>
    </row>
    <row r="1032" spans="1:6" x14ac:dyDescent="0.2">
      <c r="A1032" s="3" t="s">
        <v>11</v>
      </c>
      <c r="B1032" s="3" t="s">
        <v>20</v>
      </c>
      <c r="C1032" s="3">
        <v>67952.61</v>
      </c>
      <c r="D1032" s="4">
        <v>203857.83</v>
      </c>
      <c r="E1032" s="4">
        <v>67952.61</v>
      </c>
      <c r="F1032" s="4">
        <v>92182.01400000001</v>
      </c>
    </row>
    <row r="1033" spans="1:6" x14ac:dyDescent="0.2">
      <c r="A1033" s="3" t="s">
        <v>12</v>
      </c>
      <c r="B1033" s="3" t="s">
        <v>20</v>
      </c>
      <c r="C1033" s="3">
        <v>93503.27</v>
      </c>
      <c r="D1033" s="4">
        <v>280509.81</v>
      </c>
      <c r="E1033" s="4">
        <v>93503.27</v>
      </c>
      <c r="F1033" s="4">
        <v>92182.01400000001</v>
      </c>
    </row>
    <row r="1034" spans="1:6" x14ac:dyDescent="0.2">
      <c r="A1034" s="3" t="s">
        <v>13</v>
      </c>
      <c r="B1034" s="3" t="s">
        <v>20</v>
      </c>
      <c r="C1034" s="3">
        <v>78110.78</v>
      </c>
      <c r="D1034" s="4">
        <v>234332.34</v>
      </c>
      <c r="E1034" s="4">
        <v>78110.78</v>
      </c>
      <c r="F1034" s="4">
        <v>92182.01400000001</v>
      </c>
    </row>
    <row r="1035" spans="1:6" x14ac:dyDescent="0.2">
      <c r="A1035" s="3" t="s">
        <v>7</v>
      </c>
      <c r="B1035" s="3" t="s">
        <v>17</v>
      </c>
      <c r="C1035" s="3">
        <v>50270.239999999998</v>
      </c>
      <c r="D1035" s="4">
        <v>150810.72</v>
      </c>
      <c r="E1035" s="4">
        <v>50270.239999999998</v>
      </c>
      <c r="F1035" s="4">
        <v>83740.842000000004</v>
      </c>
    </row>
    <row r="1036" spans="1:6" x14ac:dyDescent="0.2">
      <c r="A1036" s="3" t="s">
        <v>9</v>
      </c>
      <c r="B1036" s="3" t="s">
        <v>17</v>
      </c>
      <c r="C1036" s="3">
        <v>68420.09</v>
      </c>
      <c r="D1036" s="4">
        <v>205260.27</v>
      </c>
      <c r="E1036" s="4">
        <v>68420.09</v>
      </c>
      <c r="F1036" s="4">
        <v>83740.842000000004</v>
      </c>
    </row>
    <row r="1037" spans="1:6" x14ac:dyDescent="0.2">
      <c r="A1037" s="3" t="s">
        <v>10</v>
      </c>
      <c r="B1037" s="3" t="s">
        <v>17</v>
      </c>
      <c r="C1037" s="3">
        <v>51521.31</v>
      </c>
      <c r="D1037" s="4">
        <v>154563.93</v>
      </c>
      <c r="E1037" s="4">
        <v>51521.31</v>
      </c>
      <c r="F1037" s="4">
        <v>83740.842000000004</v>
      </c>
    </row>
    <row r="1038" spans="1:6" x14ac:dyDescent="0.2">
      <c r="A1038" s="3" t="s">
        <v>11</v>
      </c>
      <c r="B1038" s="3" t="s">
        <v>17</v>
      </c>
      <c r="C1038" s="3">
        <v>51215.59</v>
      </c>
      <c r="D1038" s="4">
        <v>153646.76999999999</v>
      </c>
      <c r="E1038" s="4">
        <v>51215.59</v>
      </c>
      <c r="F1038" s="4">
        <v>83740.842000000004</v>
      </c>
    </row>
    <row r="1039" spans="1:6" x14ac:dyDescent="0.2">
      <c r="A1039" s="3" t="s">
        <v>12</v>
      </c>
      <c r="B1039" s="3" t="s">
        <v>17</v>
      </c>
      <c r="C1039" s="3">
        <v>75783.86</v>
      </c>
      <c r="D1039" s="4">
        <v>227351.58</v>
      </c>
      <c r="E1039" s="4">
        <v>75783.86</v>
      </c>
      <c r="F1039" s="4">
        <v>83740.842000000004</v>
      </c>
    </row>
    <row r="1040" spans="1:6" x14ac:dyDescent="0.2">
      <c r="A1040" s="3" t="s">
        <v>13</v>
      </c>
      <c r="B1040" s="3" t="s">
        <v>17</v>
      </c>
      <c r="C1040" s="3">
        <v>48058.93</v>
      </c>
      <c r="D1040" s="4">
        <v>144176.79</v>
      </c>
      <c r="E1040" s="4">
        <v>48058.93</v>
      </c>
      <c r="F1040" s="4">
        <v>83740.842000000004</v>
      </c>
    </row>
    <row r="1041" spans="1:6" x14ac:dyDescent="0.2">
      <c r="A1041" s="3" t="s">
        <v>7</v>
      </c>
      <c r="B1041" s="3" t="s">
        <v>21</v>
      </c>
      <c r="C1041" s="3">
        <v>52542.06</v>
      </c>
      <c r="D1041" s="4">
        <v>157626.18</v>
      </c>
      <c r="E1041" s="4">
        <v>52542.06</v>
      </c>
      <c r="F1041" s="4">
        <v>100474.88400000001</v>
      </c>
    </row>
    <row r="1042" spans="1:6" x14ac:dyDescent="0.2">
      <c r="A1042" s="3" t="s">
        <v>9</v>
      </c>
      <c r="B1042" s="3" t="s">
        <v>21</v>
      </c>
      <c r="C1042" s="3">
        <v>41995</v>
      </c>
      <c r="D1042" s="4">
        <v>125985</v>
      </c>
      <c r="E1042" s="4">
        <v>41995</v>
      </c>
      <c r="F1042" s="4">
        <v>100474.88400000001</v>
      </c>
    </row>
    <row r="1043" spans="1:6" x14ac:dyDescent="0.2">
      <c r="A1043" s="3" t="s">
        <v>10</v>
      </c>
      <c r="B1043" s="3" t="s">
        <v>21</v>
      </c>
      <c r="C1043" s="3">
        <v>38228.870000000003</v>
      </c>
      <c r="D1043" s="4">
        <v>114686.61</v>
      </c>
      <c r="E1043" s="4">
        <v>38228.870000000003</v>
      </c>
      <c r="F1043" s="4">
        <v>100474.88400000001</v>
      </c>
    </row>
    <row r="1044" spans="1:6" x14ac:dyDescent="0.2">
      <c r="A1044" s="3" t="s">
        <v>11</v>
      </c>
      <c r="B1044" s="3" t="s">
        <v>21</v>
      </c>
      <c r="C1044" s="3">
        <v>50715.62</v>
      </c>
      <c r="D1044" s="4">
        <v>152146.85999999999</v>
      </c>
      <c r="E1044" s="4">
        <v>50715.62</v>
      </c>
      <c r="F1044" s="4">
        <v>100474.88400000001</v>
      </c>
    </row>
    <row r="1045" spans="1:6" x14ac:dyDescent="0.2">
      <c r="A1045" s="3" t="s">
        <v>12</v>
      </c>
      <c r="B1045" s="3" t="s">
        <v>21</v>
      </c>
      <c r="C1045" s="3">
        <v>47706.14</v>
      </c>
      <c r="D1045" s="4">
        <v>143118.42000000001</v>
      </c>
      <c r="E1045" s="4">
        <v>47706.14</v>
      </c>
      <c r="F1045" s="4">
        <v>100474.88400000001</v>
      </c>
    </row>
    <row r="1046" spans="1:6" x14ac:dyDescent="0.2">
      <c r="A1046" s="3" t="s">
        <v>13</v>
      </c>
      <c r="B1046" s="3" t="s">
        <v>21</v>
      </c>
      <c r="C1046" s="3">
        <v>60857.21</v>
      </c>
      <c r="D1046" s="4">
        <v>182571.63</v>
      </c>
      <c r="E1046" s="4">
        <v>60857.21</v>
      </c>
      <c r="F1046" s="4">
        <v>100474.88400000001</v>
      </c>
    </row>
    <row r="1047" spans="1:6" x14ac:dyDescent="0.2">
      <c r="A1047" s="3" t="s">
        <v>7</v>
      </c>
      <c r="B1047" s="3" t="s">
        <v>14</v>
      </c>
      <c r="C1047" s="3">
        <v>69970.44</v>
      </c>
      <c r="D1047" s="4">
        <v>209911.32</v>
      </c>
      <c r="E1047" s="4">
        <v>69970.44</v>
      </c>
      <c r="F1047" s="4">
        <v>92194.631999999998</v>
      </c>
    </row>
    <row r="1048" spans="1:6" x14ac:dyDescent="0.2">
      <c r="A1048" s="3" t="s">
        <v>9</v>
      </c>
      <c r="B1048" s="3" t="s">
        <v>14</v>
      </c>
      <c r="C1048" s="3">
        <v>75682.91</v>
      </c>
      <c r="D1048" s="4">
        <v>227048.73</v>
      </c>
      <c r="E1048" s="4">
        <v>75682.91</v>
      </c>
      <c r="F1048" s="4">
        <v>92194.631999999998</v>
      </c>
    </row>
    <row r="1049" spans="1:6" x14ac:dyDescent="0.2">
      <c r="A1049" s="3" t="s">
        <v>10</v>
      </c>
      <c r="B1049" s="3" t="s">
        <v>14</v>
      </c>
      <c r="C1049" s="3">
        <v>60638.89</v>
      </c>
      <c r="D1049" s="4">
        <v>181916.67</v>
      </c>
      <c r="E1049" s="4">
        <v>60638.89</v>
      </c>
      <c r="F1049" s="4">
        <v>92194.631999999998</v>
      </c>
    </row>
    <row r="1050" spans="1:6" x14ac:dyDescent="0.2">
      <c r="A1050" s="3" t="s">
        <v>11</v>
      </c>
      <c r="B1050" s="3" t="s">
        <v>14</v>
      </c>
      <c r="C1050" s="3">
        <v>59021.45</v>
      </c>
      <c r="D1050" s="4">
        <v>177064.35</v>
      </c>
      <c r="E1050" s="4">
        <v>59021.45</v>
      </c>
      <c r="F1050" s="4">
        <v>92194.631999999998</v>
      </c>
    </row>
    <row r="1051" spans="1:6" x14ac:dyDescent="0.2">
      <c r="A1051" s="3" t="s">
        <v>12</v>
      </c>
      <c r="B1051" s="3" t="s">
        <v>14</v>
      </c>
      <c r="C1051" s="3">
        <v>78837.77</v>
      </c>
      <c r="D1051" s="4">
        <v>236513.31</v>
      </c>
      <c r="E1051" s="4">
        <v>78837.77</v>
      </c>
      <c r="F1051" s="4">
        <v>92194.631999999998</v>
      </c>
    </row>
    <row r="1052" spans="1:6" x14ac:dyDescent="0.2">
      <c r="A1052" s="3" t="s">
        <v>13</v>
      </c>
      <c r="B1052" s="3" t="s">
        <v>14</v>
      </c>
      <c r="C1052" s="3">
        <v>74046.38</v>
      </c>
      <c r="D1052" s="4">
        <v>222139.14</v>
      </c>
      <c r="E1052" s="4">
        <v>74046.38</v>
      </c>
      <c r="F1052" s="4">
        <v>92194.631999999998</v>
      </c>
    </row>
    <row r="1053" spans="1:6" x14ac:dyDescent="0.2">
      <c r="A1053" s="3" t="s">
        <v>7</v>
      </c>
      <c r="B1053" s="3" t="s">
        <v>21</v>
      </c>
      <c r="C1053" s="3">
        <v>51983.74</v>
      </c>
      <c r="D1053" s="4">
        <v>155951.22</v>
      </c>
      <c r="E1053" s="4">
        <v>51983.74</v>
      </c>
      <c r="F1053" s="4">
        <v>100474.88400000001</v>
      </c>
    </row>
    <row r="1054" spans="1:6" x14ac:dyDescent="0.2">
      <c r="A1054" s="3" t="s">
        <v>9</v>
      </c>
      <c r="B1054" s="3" t="s">
        <v>21</v>
      </c>
      <c r="C1054" s="3">
        <v>67316.87</v>
      </c>
      <c r="D1054" s="4">
        <v>201950.61</v>
      </c>
      <c r="E1054" s="4">
        <v>67316.87</v>
      </c>
      <c r="F1054" s="4">
        <v>100474.88400000001</v>
      </c>
    </row>
    <row r="1055" spans="1:6" x14ac:dyDescent="0.2">
      <c r="A1055" s="3" t="s">
        <v>10</v>
      </c>
      <c r="B1055" s="3" t="s">
        <v>21</v>
      </c>
      <c r="C1055" s="3">
        <v>56693.13</v>
      </c>
      <c r="D1055" s="4">
        <v>170079.39</v>
      </c>
      <c r="E1055" s="4">
        <v>56693.13</v>
      </c>
      <c r="F1055" s="4">
        <v>100474.88400000001</v>
      </c>
    </row>
    <row r="1056" spans="1:6" x14ac:dyDescent="0.2">
      <c r="A1056" s="3" t="s">
        <v>11</v>
      </c>
      <c r="B1056" s="3" t="s">
        <v>21</v>
      </c>
      <c r="C1056" s="3">
        <v>66311.740000000005</v>
      </c>
      <c r="D1056" s="4">
        <v>198935.22</v>
      </c>
      <c r="E1056" s="4">
        <v>66311.740000000005</v>
      </c>
      <c r="F1056" s="4">
        <v>100474.88400000001</v>
      </c>
    </row>
    <row r="1057" spans="1:6" x14ac:dyDescent="0.2">
      <c r="A1057" s="3" t="s">
        <v>12</v>
      </c>
      <c r="B1057" s="3" t="s">
        <v>21</v>
      </c>
      <c r="C1057" s="3">
        <v>65928.179999999993</v>
      </c>
      <c r="D1057" s="4">
        <v>197784.54</v>
      </c>
      <c r="E1057" s="4">
        <v>65928.179999999993</v>
      </c>
      <c r="F1057" s="4">
        <v>100474.88400000001</v>
      </c>
    </row>
    <row r="1058" spans="1:6" x14ac:dyDescent="0.2">
      <c r="A1058" s="3" t="s">
        <v>13</v>
      </c>
      <c r="B1058" s="3" t="s">
        <v>21</v>
      </c>
      <c r="C1058" s="3">
        <v>73502.960000000006</v>
      </c>
      <c r="D1058" s="4">
        <v>220508.88</v>
      </c>
      <c r="E1058" s="4">
        <v>73502.960000000006</v>
      </c>
      <c r="F1058" s="4">
        <v>100474.88400000001</v>
      </c>
    </row>
    <row r="1059" spans="1:6" x14ac:dyDescent="0.2">
      <c r="A1059" s="3" t="s">
        <v>7</v>
      </c>
      <c r="B1059" s="3" t="s">
        <v>8</v>
      </c>
      <c r="C1059" s="3">
        <v>46611.87</v>
      </c>
      <c r="D1059" s="4">
        <v>139835.60999999999</v>
      </c>
      <c r="E1059" s="4">
        <v>46611.87</v>
      </c>
      <c r="F1059" s="4">
        <v>91734.462</v>
      </c>
    </row>
    <row r="1060" spans="1:6" x14ac:dyDescent="0.2">
      <c r="A1060" s="3" t="s">
        <v>9</v>
      </c>
      <c r="B1060" s="3" t="s">
        <v>8</v>
      </c>
      <c r="C1060" s="3">
        <v>46433.79</v>
      </c>
      <c r="D1060" s="4">
        <v>139301.37</v>
      </c>
      <c r="E1060" s="4">
        <v>46433.79</v>
      </c>
      <c r="F1060" s="4">
        <v>91734.462</v>
      </c>
    </row>
    <row r="1061" spans="1:6" x14ac:dyDescent="0.2">
      <c r="A1061" s="3" t="s">
        <v>10</v>
      </c>
      <c r="B1061" s="3" t="s">
        <v>8</v>
      </c>
      <c r="C1061" s="3">
        <v>50178.15</v>
      </c>
      <c r="D1061" s="4">
        <v>150534.45000000001</v>
      </c>
      <c r="E1061" s="4">
        <v>50178.15</v>
      </c>
      <c r="F1061" s="4">
        <v>91734.462</v>
      </c>
    </row>
    <row r="1062" spans="1:6" x14ac:dyDescent="0.2">
      <c r="A1062" s="3" t="s">
        <v>11</v>
      </c>
      <c r="B1062" s="3" t="s">
        <v>8</v>
      </c>
      <c r="C1062" s="3">
        <v>48575.06</v>
      </c>
      <c r="D1062" s="4">
        <v>145725.18</v>
      </c>
      <c r="E1062" s="4">
        <v>48575.06</v>
      </c>
      <c r="F1062" s="4">
        <v>91734.462</v>
      </c>
    </row>
    <row r="1063" spans="1:6" x14ac:dyDescent="0.2">
      <c r="A1063" s="3" t="s">
        <v>12</v>
      </c>
      <c r="B1063" s="3" t="s">
        <v>8</v>
      </c>
      <c r="C1063" s="3">
        <v>44131.85</v>
      </c>
      <c r="D1063" s="4">
        <v>132395.54999999999</v>
      </c>
      <c r="E1063" s="4">
        <v>44131.85</v>
      </c>
      <c r="F1063" s="4">
        <v>91734.462</v>
      </c>
    </row>
    <row r="1064" spans="1:6" x14ac:dyDescent="0.2">
      <c r="A1064" s="3" t="s">
        <v>13</v>
      </c>
      <c r="B1064" s="3" t="s">
        <v>8</v>
      </c>
      <c r="C1064" s="3">
        <v>52915.89</v>
      </c>
      <c r="D1064" s="4">
        <v>158747.67000000001</v>
      </c>
      <c r="E1064" s="4">
        <v>52915.89</v>
      </c>
      <c r="F1064" s="4">
        <v>91734.462</v>
      </c>
    </row>
    <row r="1065" spans="1:6" x14ac:dyDescent="0.2">
      <c r="A1065" s="3" t="s">
        <v>7</v>
      </c>
      <c r="B1065" s="3" t="s">
        <v>8</v>
      </c>
      <c r="C1065" s="3">
        <v>27785.67</v>
      </c>
      <c r="D1065" s="4">
        <v>83357.009999999995</v>
      </c>
      <c r="E1065" s="4">
        <v>27785.67</v>
      </c>
      <c r="F1065" s="4">
        <v>91734.462</v>
      </c>
    </row>
    <row r="1066" spans="1:6" x14ac:dyDescent="0.2">
      <c r="A1066" s="3" t="s">
        <v>9</v>
      </c>
      <c r="B1066" s="3" t="s">
        <v>8</v>
      </c>
      <c r="C1066" s="3">
        <v>23295.040000000001</v>
      </c>
      <c r="D1066" s="4">
        <v>69885.119999999995</v>
      </c>
      <c r="E1066" s="4">
        <v>23295.040000000001</v>
      </c>
      <c r="F1066" s="4">
        <v>91734.462</v>
      </c>
    </row>
    <row r="1067" spans="1:6" x14ac:dyDescent="0.2">
      <c r="A1067" s="3" t="s">
        <v>10</v>
      </c>
      <c r="B1067" s="3" t="s">
        <v>8</v>
      </c>
      <c r="C1067" s="3">
        <v>21425.66</v>
      </c>
      <c r="D1067" s="4">
        <v>64276.98</v>
      </c>
      <c r="E1067" s="4">
        <v>21425.66</v>
      </c>
      <c r="F1067" s="4">
        <v>91734.462</v>
      </c>
    </row>
    <row r="1068" spans="1:6" x14ac:dyDescent="0.2">
      <c r="A1068" s="3" t="s">
        <v>11</v>
      </c>
      <c r="B1068" s="3" t="s">
        <v>8</v>
      </c>
      <c r="C1068" s="3">
        <v>27530.67</v>
      </c>
      <c r="D1068" s="4">
        <v>82592.009999999995</v>
      </c>
      <c r="E1068" s="4">
        <v>27530.67</v>
      </c>
      <c r="F1068" s="4">
        <v>91734.462</v>
      </c>
    </row>
    <row r="1069" spans="1:6" x14ac:dyDescent="0.2">
      <c r="A1069" s="3" t="s">
        <v>12</v>
      </c>
      <c r="B1069" s="3" t="s">
        <v>8</v>
      </c>
      <c r="C1069" s="3">
        <v>28341.21</v>
      </c>
      <c r="D1069" s="4">
        <v>85023.63</v>
      </c>
      <c r="E1069" s="4">
        <v>28341.21</v>
      </c>
      <c r="F1069" s="4">
        <v>91734.462</v>
      </c>
    </row>
    <row r="1070" spans="1:6" x14ac:dyDescent="0.2">
      <c r="A1070" s="3" t="s">
        <v>13</v>
      </c>
      <c r="B1070" s="3" t="s">
        <v>8</v>
      </c>
      <c r="C1070" s="3">
        <v>20709.7</v>
      </c>
      <c r="D1070" s="4">
        <v>62129.100000000013</v>
      </c>
      <c r="E1070" s="4">
        <v>20709.7</v>
      </c>
      <c r="F1070" s="4">
        <v>91734.462</v>
      </c>
    </row>
    <row r="1071" spans="1:6" x14ac:dyDescent="0.2">
      <c r="A1071" s="3" t="s">
        <v>7</v>
      </c>
      <c r="B1071" s="3" t="s">
        <v>16</v>
      </c>
      <c r="C1071" s="3">
        <v>70090.899999999994</v>
      </c>
      <c r="D1071" s="4">
        <v>210272.7</v>
      </c>
      <c r="E1071" s="4">
        <v>70090.899999999994</v>
      </c>
      <c r="F1071" s="4">
        <v>94304.313000000009</v>
      </c>
    </row>
    <row r="1072" spans="1:6" x14ac:dyDescent="0.2">
      <c r="A1072" s="3" t="s">
        <v>9</v>
      </c>
      <c r="B1072" s="3" t="s">
        <v>16</v>
      </c>
      <c r="C1072" s="3">
        <v>47938.52</v>
      </c>
      <c r="D1072" s="4">
        <v>143815.56</v>
      </c>
      <c r="E1072" s="4">
        <v>47938.52</v>
      </c>
      <c r="F1072" s="4">
        <v>94304.313000000009</v>
      </c>
    </row>
    <row r="1073" spans="1:6" x14ac:dyDescent="0.2">
      <c r="A1073" s="3" t="s">
        <v>10</v>
      </c>
      <c r="B1073" s="3" t="s">
        <v>16</v>
      </c>
      <c r="C1073" s="3">
        <v>51608.160000000003</v>
      </c>
      <c r="D1073" s="4">
        <v>154824.48000000001</v>
      </c>
      <c r="E1073" s="4">
        <v>51608.160000000003</v>
      </c>
      <c r="F1073" s="4">
        <v>94304.313000000009</v>
      </c>
    </row>
    <row r="1074" spans="1:6" x14ac:dyDescent="0.2">
      <c r="A1074" s="3" t="s">
        <v>11</v>
      </c>
      <c r="B1074" s="3" t="s">
        <v>16</v>
      </c>
      <c r="C1074" s="3">
        <v>55173.15</v>
      </c>
      <c r="D1074" s="4">
        <v>165519.45000000001</v>
      </c>
      <c r="E1074" s="4">
        <v>55173.15</v>
      </c>
      <c r="F1074" s="4">
        <v>94304.313000000009</v>
      </c>
    </row>
    <row r="1075" spans="1:6" x14ac:dyDescent="0.2">
      <c r="A1075" s="3" t="s">
        <v>12</v>
      </c>
      <c r="B1075" s="3" t="s">
        <v>16</v>
      </c>
      <c r="C1075" s="3">
        <v>54913.48</v>
      </c>
      <c r="D1075" s="4">
        <v>164740.44</v>
      </c>
      <c r="E1075" s="4">
        <v>54913.48</v>
      </c>
      <c r="F1075" s="4">
        <v>94304.313000000009</v>
      </c>
    </row>
    <row r="1076" spans="1:6" x14ac:dyDescent="0.2">
      <c r="A1076" s="3" t="s">
        <v>13</v>
      </c>
      <c r="B1076" s="3" t="s">
        <v>16</v>
      </c>
      <c r="C1076" s="3">
        <v>53528.02</v>
      </c>
      <c r="D1076" s="4">
        <v>160584.06</v>
      </c>
      <c r="E1076" s="4">
        <v>53528.02</v>
      </c>
      <c r="F1076" s="4">
        <v>94304.313000000009</v>
      </c>
    </row>
    <row r="1077" spans="1:6" x14ac:dyDescent="0.2">
      <c r="A1077" s="3" t="s">
        <v>7</v>
      </c>
      <c r="B1077" s="3" t="s">
        <v>16</v>
      </c>
      <c r="C1077" s="3">
        <v>31062.21</v>
      </c>
      <c r="D1077" s="4">
        <v>93186.63</v>
      </c>
      <c r="E1077" s="4">
        <v>31062.21</v>
      </c>
      <c r="F1077" s="4">
        <v>94304.313000000009</v>
      </c>
    </row>
    <row r="1078" spans="1:6" x14ac:dyDescent="0.2">
      <c r="A1078" s="3" t="s">
        <v>9</v>
      </c>
      <c r="B1078" s="3" t="s">
        <v>16</v>
      </c>
      <c r="C1078" s="3">
        <v>28553.56</v>
      </c>
      <c r="D1078" s="4">
        <v>85660.680000000008</v>
      </c>
      <c r="E1078" s="4">
        <v>28553.56</v>
      </c>
      <c r="F1078" s="4">
        <v>94304.313000000009</v>
      </c>
    </row>
    <row r="1079" spans="1:6" x14ac:dyDescent="0.2">
      <c r="A1079" s="3" t="s">
        <v>10</v>
      </c>
      <c r="B1079" s="3" t="s">
        <v>16</v>
      </c>
      <c r="C1079" s="3">
        <v>29947.9</v>
      </c>
      <c r="D1079" s="4">
        <v>89843.700000000012</v>
      </c>
      <c r="E1079" s="4">
        <v>29947.9</v>
      </c>
      <c r="F1079" s="4">
        <v>94304.313000000009</v>
      </c>
    </row>
    <row r="1080" spans="1:6" x14ac:dyDescent="0.2">
      <c r="A1080" s="3" t="s">
        <v>11</v>
      </c>
      <c r="B1080" s="3" t="s">
        <v>16</v>
      </c>
      <c r="C1080" s="3">
        <v>27517.26</v>
      </c>
      <c r="D1080" s="4">
        <v>82551.78</v>
      </c>
      <c r="E1080" s="4">
        <v>27517.26</v>
      </c>
      <c r="F1080" s="4">
        <v>94304.313000000009</v>
      </c>
    </row>
    <row r="1081" spans="1:6" x14ac:dyDescent="0.2">
      <c r="A1081" s="3" t="s">
        <v>12</v>
      </c>
      <c r="B1081" s="3" t="s">
        <v>16</v>
      </c>
      <c r="C1081" s="3">
        <v>25582.92</v>
      </c>
      <c r="D1081" s="4">
        <v>76748.759999999995</v>
      </c>
      <c r="E1081" s="4">
        <v>25582.92</v>
      </c>
      <c r="F1081" s="4">
        <v>94304.313000000009</v>
      </c>
    </row>
    <row r="1082" spans="1:6" x14ac:dyDescent="0.2">
      <c r="A1082" s="3" t="s">
        <v>13</v>
      </c>
      <c r="B1082" s="3" t="s">
        <v>16</v>
      </c>
      <c r="C1082" s="3">
        <v>38569.4</v>
      </c>
      <c r="D1082" s="4">
        <v>115708.2</v>
      </c>
      <c r="E1082" s="4">
        <v>38569.4</v>
      </c>
      <c r="F1082" s="4">
        <v>94304.313000000009</v>
      </c>
    </row>
    <row r="1083" spans="1:6" x14ac:dyDescent="0.2">
      <c r="A1083" s="3" t="s">
        <v>7</v>
      </c>
      <c r="B1083" s="3" t="s">
        <v>18</v>
      </c>
      <c r="C1083" s="3">
        <v>62850.87</v>
      </c>
      <c r="D1083" s="4">
        <v>188552.61</v>
      </c>
      <c r="E1083" s="4">
        <v>62850.87</v>
      </c>
      <c r="F1083" s="4">
        <v>99634.98599999999</v>
      </c>
    </row>
    <row r="1084" spans="1:6" x14ac:dyDescent="0.2">
      <c r="A1084" s="3" t="s">
        <v>9</v>
      </c>
      <c r="B1084" s="3" t="s">
        <v>18</v>
      </c>
      <c r="C1084" s="3">
        <v>61623.57</v>
      </c>
      <c r="D1084" s="4">
        <v>184870.71</v>
      </c>
      <c r="E1084" s="4">
        <v>61623.57</v>
      </c>
      <c r="F1084" s="4">
        <v>99634.98599999999</v>
      </c>
    </row>
    <row r="1085" spans="1:6" x14ac:dyDescent="0.2">
      <c r="A1085" s="3" t="s">
        <v>10</v>
      </c>
      <c r="B1085" s="3" t="s">
        <v>18</v>
      </c>
      <c r="C1085" s="3">
        <v>79937.11</v>
      </c>
      <c r="D1085" s="4">
        <v>239811.33</v>
      </c>
      <c r="E1085" s="4">
        <v>79937.11</v>
      </c>
      <c r="F1085" s="4">
        <v>99634.98599999999</v>
      </c>
    </row>
    <row r="1086" spans="1:6" x14ac:dyDescent="0.2">
      <c r="A1086" s="3" t="s">
        <v>11</v>
      </c>
      <c r="B1086" s="3" t="s">
        <v>18</v>
      </c>
      <c r="C1086" s="3">
        <v>81463.33</v>
      </c>
      <c r="D1086" s="4">
        <v>244389.99</v>
      </c>
      <c r="E1086" s="4">
        <v>81463.33</v>
      </c>
      <c r="F1086" s="4">
        <v>99634.98599999999</v>
      </c>
    </row>
    <row r="1087" spans="1:6" x14ac:dyDescent="0.2">
      <c r="A1087" s="3" t="s">
        <v>12</v>
      </c>
      <c r="B1087" s="3" t="s">
        <v>18</v>
      </c>
      <c r="C1087" s="3">
        <v>51503.99</v>
      </c>
      <c r="D1087" s="4">
        <v>154511.97</v>
      </c>
      <c r="E1087" s="4">
        <v>51503.99</v>
      </c>
      <c r="F1087" s="4">
        <v>99634.98599999999</v>
      </c>
    </row>
    <row r="1088" spans="1:6" x14ac:dyDescent="0.2">
      <c r="A1088" s="3" t="s">
        <v>13</v>
      </c>
      <c r="B1088" s="3" t="s">
        <v>18</v>
      </c>
      <c r="C1088" s="3">
        <v>85889.61</v>
      </c>
      <c r="D1088" s="4">
        <v>257668.83</v>
      </c>
      <c r="E1088" s="4">
        <v>85889.61</v>
      </c>
      <c r="F1088" s="4">
        <v>99634.98599999999</v>
      </c>
    </row>
    <row r="1089" spans="1:6" x14ac:dyDescent="0.2">
      <c r="A1089" s="3" t="s">
        <v>7</v>
      </c>
      <c r="B1089" s="3" t="s">
        <v>18</v>
      </c>
      <c r="C1089" s="3">
        <v>22045.439999999999</v>
      </c>
      <c r="D1089" s="4">
        <v>66136.319999999992</v>
      </c>
      <c r="E1089" s="4">
        <v>22045.439999999999</v>
      </c>
      <c r="F1089" s="4">
        <v>99634.98599999999</v>
      </c>
    </row>
    <row r="1090" spans="1:6" x14ac:dyDescent="0.2">
      <c r="A1090" s="3" t="s">
        <v>9</v>
      </c>
      <c r="B1090" s="3" t="s">
        <v>18</v>
      </c>
      <c r="C1090" s="3">
        <v>33058.86</v>
      </c>
      <c r="D1090" s="4">
        <v>99176.58</v>
      </c>
      <c r="E1090" s="4">
        <v>33058.86</v>
      </c>
      <c r="F1090" s="4">
        <v>99634.98599999999</v>
      </c>
    </row>
    <row r="1091" spans="1:6" x14ac:dyDescent="0.2">
      <c r="A1091" s="3" t="s">
        <v>10</v>
      </c>
      <c r="B1091" s="3" t="s">
        <v>18</v>
      </c>
      <c r="C1091" s="3">
        <v>23220.01</v>
      </c>
      <c r="D1091" s="4">
        <v>69660.03</v>
      </c>
      <c r="E1091" s="4">
        <v>23220.01</v>
      </c>
      <c r="F1091" s="4">
        <v>99634.98599999999</v>
      </c>
    </row>
    <row r="1092" spans="1:6" x14ac:dyDescent="0.2">
      <c r="A1092" s="3" t="s">
        <v>11</v>
      </c>
      <c r="B1092" s="3" t="s">
        <v>18</v>
      </c>
      <c r="C1092" s="3">
        <v>24379.13</v>
      </c>
      <c r="D1092" s="4">
        <v>73137.39</v>
      </c>
      <c r="E1092" s="4">
        <v>24379.13</v>
      </c>
      <c r="F1092" s="4">
        <v>99634.98599999999</v>
      </c>
    </row>
    <row r="1093" spans="1:6" x14ac:dyDescent="0.2">
      <c r="A1093" s="3" t="s">
        <v>12</v>
      </c>
      <c r="B1093" s="3" t="s">
        <v>18</v>
      </c>
      <c r="C1093" s="3">
        <v>33723.67</v>
      </c>
      <c r="D1093" s="4">
        <v>101171.01</v>
      </c>
      <c r="E1093" s="4">
        <v>33723.67</v>
      </c>
      <c r="F1093" s="4">
        <v>99634.98599999999</v>
      </c>
    </row>
    <row r="1094" spans="1:6" x14ac:dyDescent="0.2">
      <c r="A1094" s="3" t="s">
        <v>13</v>
      </c>
      <c r="B1094" s="3" t="s">
        <v>18</v>
      </c>
      <c r="C1094" s="3">
        <v>36044.65</v>
      </c>
      <c r="D1094" s="4">
        <v>108133.95</v>
      </c>
      <c r="E1094" s="4">
        <v>36044.65</v>
      </c>
      <c r="F1094" s="4">
        <v>99634.98599999999</v>
      </c>
    </row>
    <row r="1095" spans="1:6" x14ac:dyDescent="0.2">
      <c r="A1095" s="3" t="s">
        <v>7</v>
      </c>
      <c r="B1095" s="3" t="s">
        <v>8</v>
      </c>
      <c r="C1095" s="3">
        <v>32253.57</v>
      </c>
      <c r="D1095" s="4">
        <v>96760.709999999992</v>
      </c>
      <c r="E1095" s="4">
        <v>32253.57</v>
      </c>
      <c r="F1095" s="4">
        <v>91734.462</v>
      </c>
    </row>
    <row r="1096" spans="1:6" x14ac:dyDescent="0.2">
      <c r="A1096" s="3" t="s">
        <v>9</v>
      </c>
      <c r="B1096" s="3" t="s">
        <v>8</v>
      </c>
      <c r="C1096" s="3">
        <v>31060.78</v>
      </c>
      <c r="D1096" s="4">
        <v>93182.34</v>
      </c>
      <c r="E1096" s="4">
        <v>31060.78</v>
      </c>
      <c r="F1096" s="4">
        <v>91734.462</v>
      </c>
    </row>
    <row r="1097" spans="1:6" x14ac:dyDescent="0.2">
      <c r="A1097" s="3" t="s">
        <v>10</v>
      </c>
      <c r="B1097" s="3" t="s">
        <v>8</v>
      </c>
      <c r="C1097" s="3">
        <v>33663.96</v>
      </c>
      <c r="D1097" s="4">
        <v>100991.88</v>
      </c>
      <c r="E1097" s="4">
        <v>33663.96</v>
      </c>
      <c r="F1097" s="4">
        <v>91734.462</v>
      </c>
    </row>
    <row r="1098" spans="1:6" x14ac:dyDescent="0.2">
      <c r="A1098" s="3" t="s">
        <v>11</v>
      </c>
      <c r="B1098" s="3" t="s">
        <v>8</v>
      </c>
      <c r="C1098" s="3">
        <v>34237.57</v>
      </c>
      <c r="D1098" s="4">
        <v>102712.71</v>
      </c>
      <c r="E1098" s="4">
        <v>34237.57</v>
      </c>
      <c r="F1098" s="4">
        <v>91734.462</v>
      </c>
    </row>
    <row r="1099" spans="1:6" x14ac:dyDescent="0.2">
      <c r="A1099" s="3" t="s">
        <v>12</v>
      </c>
      <c r="B1099" s="3" t="s">
        <v>8</v>
      </c>
      <c r="C1099" s="3">
        <v>39717.78</v>
      </c>
      <c r="D1099" s="4">
        <v>119153.34</v>
      </c>
      <c r="E1099" s="4">
        <v>39717.78</v>
      </c>
      <c r="F1099" s="4">
        <v>91734.462</v>
      </c>
    </row>
    <row r="1100" spans="1:6" x14ac:dyDescent="0.2">
      <c r="A1100" s="3" t="s">
        <v>13</v>
      </c>
      <c r="B1100" s="3" t="s">
        <v>8</v>
      </c>
      <c r="C1100" s="3">
        <v>29087.439999999999</v>
      </c>
      <c r="D1100" s="4">
        <v>87262.319999999992</v>
      </c>
      <c r="E1100" s="4">
        <v>29087.439999999999</v>
      </c>
      <c r="F1100" s="4">
        <v>91734.462</v>
      </c>
    </row>
    <row r="1101" spans="1:6" x14ac:dyDescent="0.2">
      <c r="A1101" s="3" t="s">
        <v>7</v>
      </c>
      <c r="B1101" s="3" t="s">
        <v>18</v>
      </c>
      <c r="C1101" s="3">
        <v>36566.21</v>
      </c>
      <c r="D1101" s="4">
        <v>109698.63</v>
      </c>
      <c r="E1101" s="4">
        <v>36566.21</v>
      </c>
      <c r="F1101" s="4">
        <v>99634.98599999999</v>
      </c>
    </row>
    <row r="1102" spans="1:6" x14ac:dyDescent="0.2">
      <c r="A1102" s="3" t="s">
        <v>9</v>
      </c>
      <c r="B1102" s="3" t="s">
        <v>18</v>
      </c>
      <c r="C1102" s="3">
        <v>50764.9</v>
      </c>
      <c r="D1102" s="4">
        <v>152294.70000000001</v>
      </c>
      <c r="E1102" s="4">
        <v>50764.9</v>
      </c>
      <c r="F1102" s="4">
        <v>99634.98599999999</v>
      </c>
    </row>
    <row r="1103" spans="1:6" x14ac:dyDescent="0.2">
      <c r="A1103" s="3" t="s">
        <v>10</v>
      </c>
      <c r="B1103" s="3" t="s">
        <v>18</v>
      </c>
      <c r="C1103" s="3">
        <v>41725.26</v>
      </c>
      <c r="D1103" s="4">
        <v>125175.78</v>
      </c>
      <c r="E1103" s="4">
        <v>41725.26</v>
      </c>
      <c r="F1103" s="4">
        <v>99634.98599999999</v>
      </c>
    </row>
    <row r="1104" spans="1:6" x14ac:dyDescent="0.2">
      <c r="A1104" s="3" t="s">
        <v>11</v>
      </c>
      <c r="B1104" s="3" t="s">
        <v>18</v>
      </c>
      <c r="C1104" s="3">
        <v>49156.2</v>
      </c>
      <c r="D1104" s="4">
        <v>147468.6</v>
      </c>
      <c r="E1104" s="4">
        <v>49156.2</v>
      </c>
      <c r="F1104" s="4">
        <v>99634.98599999999</v>
      </c>
    </row>
    <row r="1105" spans="1:6" x14ac:dyDescent="0.2">
      <c r="A1105" s="3" t="s">
        <v>12</v>
      </c>
      <c r="B1105" s="3" t="s">
        <v>18</v>
      </c>
      <c r="C1105" s="3">
        <v>36312.019999999997</v>
      </c>
      <c r="D1105" s="4">
        <v>108936.06</v>
      </c>
      <c r="E1105" s="4">
        <v>36312.019999999997</v>
      </c>
      <c r="F1105" s="4">
        <v>99634.98599999999</v>
      </c>
    </row>
    <row r="1106" spans="1:6" x14ac:dyDescent="0.2">
      <c r="A1106" s="3" t="s">
        <v>13</v>
      </c>
      <c r="B1106" s="3" t="s">
        <v>18</v>
      </c>
      <c r="C1106" s="3">
        <v>52671</v>
      </c>
      <c r="D1106" s="4">
        <v>158013</v>
      </c>
      <c r="E1106" s="4">
        <v>52671</v>
      </c>
      <c r="F1106" s="4">
        <v>99634.98599999999</v>
      </c>
    </row>
    <row r="1107" spans="1:6" x14ac:dyDescent="0.2">
      <c r="A1107" s="3" t="s">
        <v>7</v>
      </c>
      <c r="B1107" s="3" t="s">
        <v>19</v>
      </c>
      <c r="C1107" s="3">
        <v>47683.14</v>
      </c>
      <c r="D1107" s="4">
        <v>143049.42000000001</v>
      </c>
      <c r="E1107" s="4">
        <v>47683.14</v>
      </c>
      <c r="F1107" s="4">
        <v>101747.052</v>
      </c>
    </row>
    <row r="1108" spans="1:6" x14ac:dyDescent="0.2">
      <c r="A1108" s="3" t="s">
        <v>9</v>
      </c>
      <c r="B1108" s="3" t="s">
        <v>19</v>
      </c>
      <c r="C1108" s="3">
        <v>36633.42</v>
      </c>
      <c r="D1108" s="4">
        <v>109900.26</v>
      </c>
      <c r="E1108" s="4">
        <v>36633.42</v>
      </c>
      <c r="F1108" s="4">
        <v>101747.052</v>
      </c>
    </row>
    <row r="1109" spans="1:6" x14ac:dyDescent="0.2">
      <c r="A1109" s="3" t="s">
        <v>10</v>
      </c>
      <c r="B1109" s="3" t="s">
        <v>19</v>
      </c>
      <c r="C1109" s="3">
        <v>41770.65</v>
      </c>
      <c r="D1109" s="4">
        <v>125311.95</v>
      </c>
      <c r="E1109" s="4">
        <v>41770.65</v>
      </c>
      <c r="F1109" s="4">
        <v>101747.052</v>
      </c>
    </row>
    <row r="1110" spans="1:6" x14ac:dyDescent="0.2">
      <c r="A1110" s="3" t="s">
        <v>11</v>
      </c>
      <c r="B1110" s="3" t="s">
        <v>19</v>
      </c>
      <c r="C1110" s="3">
        <v>50566.19</v>
      </c>
      <c r="D1110" s="4">
        <v>151698.57</v>
      </c>
      <c r="E1110" s="4">
        <v>50566.19</v>
      </c>
      <c r="F1110" s="4">
        <v>101747.052</v>
      </c>
    </row>
    <row r="1111" spans="1:6" x14ac:dyDescent="0.2">
      <c r="A1111" s="3" t="s">
        <v>12</v>
      </c>
      <c r="B1111" s="3" t="s">
        <v>19</v>
      </c>
      <c r="C1111" s="3">
        <v>39269.53</v>
      </c>
      <c r="D1111" s="4">
        <v>117808.59</v>
      </c>
      <c r="E1111" s="4">
        <v>39269.53</v>
      </c>
      <c r="F1111" s="4">
        <v>101747.052</v>
      </c>
    </row>
    <row r="1112" spans="1:6" x14ac:dyDescent="0.2">
      <c r="A1112" s="3" t="s">
        <v>13</v>
      </c>
      <c r="B1112" s="3" t="s">
        <v>19</v>
      </c>
      <c r="C1112" s="3">
        <v>39700.620000000003</v>
      </c>
      <c r="D1112" s="4">
        <v>119101.86</v>
      </c>
      <c r="E1112" s="4">
        <v>39700.620000000003</v>
      </c>
      <c r="F1112" s="4">
        <v>101747.052</v>
      </c>
    </row>
    <row r="1113" spans="1:6" x14ac:dyDescent="0.2">
      <c r="A1113" s="3" t="s">
        <v>7</v>
      </c>
      <c r="B1113" s="3" t="s">
        <v>21</v>
      </c>
      <c r="C1113" s="3">
        <v>104018.75</v>
      </c>
      <c r="D1113" s="4">
        <v>312056.25</v>
      </c>
      <c r="E1113" s="4">
        <v>104018.75</v>
      </c>
      <c r="F1113" s="4">
        <v>100474.88400000001</v>
      </c>
    </row>
    <row r="1114" spans="1:6" x14ac:dyDescent="0.2">
      <c r="A1114" s="3" t="s">
        <v>9</v>
      </c>
      <c r="B1114" s="3" t="s">
        <v>21</v>
      </c>
      <c r="C1114" s="3">
        <v>83782.67</v>
      </c>
      <c r="D1114" s="4">
        <v>251348.01</v>
      </c>
      <c r="E1114" s="4">
        <v>83782.67</v>
      </c>
      <c r="F1114" s="4">
        <v>100474.88400000001</v>
      </c>
    </row>
    <row r="1115" spans="1:6" x14ac:dyDescent="0.2">
      <c r="A1115" s="3" t="s">
        <v>10</v>
      </c>
      <c r="B1115" s="3" t="s">
        <v>21</v>
      </c>
      <c r="C1115" s="3">
        <v>106307.29</v>
      </c>
      <c r="D1115" s="4">
        <v>318921.87</v>
      </c>
      <c r="E1115" s="4">
        <v>106307.29</v>
      </c>
      <c r="F1115" s="4">
        <v>100474.88400000001</v>
      </c>
    </row>
    <row r="1116" spans="1:6" x14ac:dyDescent="0.2">
      <c r="A1116" s="3" t="s">
        <v>11</v>
      </c>
      <c r="B1116" s="3" t="s">
        <v>21</v>
      </c>
      <c r="C1116" s="3">
        <v>111638.76</v>
      </c>
      <c r="D1116" s="4">
        <v>334916.28000000003</v>
      </c>
      <c r="E1116" s="4">
        <v>111638.76</v>
      </c>
      <c r="F1116" s="4">
        <v>100474.88400000001</v>
      </c>
    </row>
    <row r="1117" spans="1:6" x14ac:dyDescent="0.2">
      <c r="A1117" s="3" t="s">
        <v>12</v>
      </c>
      <c r="B1117" s="3" t="s">
        <v>21</v>
      </c>
      <c r="C1117" s="3">
        <v>85006.67</v>
      </c>
      <c r="D1117" s="4">
        <v>255020.01</v>
      </c>
      <c r="E1117" s="4">
        <v>85006.67</v>
      </c>
      <c r="F1117" s="4">
        <v>100474.88400000001</v>
      </c>
    </row>
    <row r="1118" spans="1:6" x14ac:dyDescent="0.2">
      <c r="A1118" s="3" t="s">
        <v>13</v>
      </c>
      <c r="B1118" s="3" t="s">
        <v>21</v>
      </c>
      <c r="C1118" s="3">
        <v>109287.38</v>
      </c>
      <c r="D1118" s="4">
        <v>327862.14</v>
      </c>
      <c r="E1118" s="4">
        <v>109287.38</v>
      </c>
      <c r="F1118" s="4">
        <v>100474.88400000001</v>
      </c>
    </row>
    <row r="1119" spans="1:6" x14ac:dyDescent="0.2">
      <c r="A1119" s="3" t="s">
        <v>7</v>
      </c>
      <c r="B1119" s="3" t="s">
        <v>19</v>
      </c>
      <c r="C1119" s="3">
        <v>92495.72</v>
      </c>
      <c r="D1119" s="4">
        <v>277487.15999999997</v>
      </c>
      <c r="E1119" s="4">
        <v>92495.72</v>
      </c>
      <c r="F1119" s="4">
        <v>101747.052</v>
      </c>
    </row>
    <row r="1120" spans="1:6" x14ac:dyDescent="0.2">
      <c r="A1120" s="3" t="s">
        <v>9</v>
      </c>
      <c r="B1120" s="3" t="s">
        <v>19</v>
      </c>
      <c r="C1120" s="3">
        <v>109464.89</v>
      </c>
      <c r="D1120" s="4">
        <v>328394.67</v>
      </c>
      <c r="E1120" s="4">
        <v>109464.89</v>
      </c>
      <c r="F1120" s="4">
        <v>101747.052</v>
      </c>
    </row>
    <row r="1121" spans="1:6" x14ac:dyDescent="0.2">
      <c r="A1121" s="3" t="s">
        <v>10</v>
      </c>
      <c r="B1121" s="3" t="s">
        <v>19</v>
      </c>
      <c r="C1121" s="3">
        <v>113052.28</v>
      </c>
      <c r="D1121" s="4">
        <v>339156.84</v>
      </c>
      <c r="E1121" s="4">
        <v>113052.28</v>
      </c>
      <c r="F1121" s="4">
        <v>101747.052</v>
      </c>
    </row>
    <row r="1122" spans="1:6" x14ac:dyDescent="0.2">
      <c r="A1122" s="3" t="s">
        <v>11</v>
      </c>
      <c r="B1122" s="3" t="s">
        <v>19</v>
      </c>
      <c r="C1122" s="3">
        <v>103771.92</v>
      </c>
      <c r="D1122" s="4">
        <v>311315.76</v>
      </c>
      <c r="E1122" s="4">
        <v>103771.92</v>
      </c>
      <c r="F1122" s="4">
        <v>101747.052</v>
      </c>
    </row>
    <row r="1123" spans="1:6" x14ac:dyDescent="0.2">
      <c r="A1123" s="3" t="s">
        <v>12</v>
      </c>
      <c r="B1123" s="3" t="s">
        <v>19</v>
      </c>
      <c r="C1123" s="3">
        <v>89375.12</v>
      </c>
      <c r="D1123" s="4">
        <v>268125.36</v>
      </c>
      <c r="E1123" s="4">
        <v>89375.12</v>
      </c>
      <c r="F1123" s="4">
        <v>101747.052</v>
      </c>
    </row>
    <row r="1124" spans="1:6" x14ac:dyDescent="0.2">
      <c r="A1124" s="3" t="s">
        <v>13</v>
      </c>
      <c r="B1124" s="3" t="s">
        <v>19</v>
      </c>
      <c r="C1124" s="3">
        <v>107088.58</v>
      </c>
      <c r="D1124" s="4">
        <v>321265.74</v>
      </c>
      <c r="E1124" s="4">
        <v>107088.58</v>
      </c>
      <c r="F1124" s="4">
        <v>101747.052</v>
      </c>
    </row>
    <row r="1125" spans="1:6" x14ac:dyDescent="0.2">
      <c r="A1125" s="3" t="s">
        <v>7</v>
      </c>
      <c r="B1125" s="3" t="s">
        <v>19</v>
      </c>
      <c r="C1125" s="3">
        <v>55083.68</v>
      </c>
      <c r="D1125" s="4">
        <v>165251.04</v>
      </c>
      <c r="E1125" s="4">
        <v>55083.68</v>
      </c>
      <c r="F1125" s="4">
        <v>101747.052</v>
      </c>
    </row>
    <row r="1126" spans="1:6" x14ac:dyDescent="0.2">
      <c r="A1126" s="3" t="s">
        <v>9</v>
      </c>
      <c r="B1126" s="3" t="s">
        <v>19</v>
      </c>
      <c r="C1126" s="3">
        <v>59406.22</v>
      </c>
      <c r="D1126" s="4">
        <v>178218.66</v>
      </c>
      <c r="E1126" s="4">
        <v>59406.22</v>
      </c>
      <c r="F1126" s="4">
        <v>101747.052</v>
      </c>
    </row>
    <row r="1127" spans="1:6" x14ac:dyDescent="0.2">
      <c r="A1127" s="3" t="s">
        <v>10</v>
      </c>
      <c r="B1127" s="3" t="s">
        <v>19</v>
      </c>
      <c r="C1127" s="3">
        <v>60942.91</v>
      </c>
      <c r="D1127" s="4">
        <v>182828.73</v>
      </c>
      <c r="E1127" s="4">
        <v>60942.91</v>
      </c>
      <c r="F1127" s="4">
        <v>101747.052</v>
      </c>
    </row>
    <row r="1128" spans="1:6" x14ac:dyDescent="0.2">
      <c r="A1128" s="3" t="s">
        <v>11</v>
      </c>
      <c r="B1128" s="3" t="s">
        <v>19</v>
      </c>
      <c r="C1128" s="3">
        <v>64520.04</v>
      </c>
      <c r="D1128" s="4">
        <v>193560.12</v>
      </c>
      <c r="E1128" s="4">
        <v>64520.04</v>
      </c>
      <c r="F1128" s="4">
        <v>101747.052</v>
      </c>
    </row>
    <row r="1129" spans="1:6" x14ac:dyDescent="0.2">
      <c r="A1129" s="3" t="s">
        <v>12</v>
      </c>
      <c r="B1129" s="3" t="s">
        <v>19</v>
      </c>
      <c r="C1129" s="3">
        <v>59386.14</v>
      </c>
      <c r="D1129" s="4">
        <v>178158.42</v>
      </c>
      <c r="E1129" s="4">
        <v>59386.14</v>
      </c>
      <c r="F1129" s="4">
        <v>101747.052</v>
      </c>
    </row>
    <row r="1130" spans="1:6" x14ac:dyDescent="0.2">
      <c r="A1130" s="3" t="s">
        <v>13</v>
      </c>
      <c r="B1130" s="3" t="s">
        <v>19</v>
      </c>
      <c r="C1130" s="3">
        <v>59183.040000000001</v>
      </c>
      <c r="D1130" s="4">
        <v>177549.12</v>
      </c>
      <c r="E1130" s="4">
        <v>59183.040000000001</v>
      </c>
      <c r="F1130" s="4">
        <v>101747.052</v>
      </c>
    </row>
    <row r="1131" spans="1:6" x14ac:dyDescent="0.2">
      <c r="A1131" s="3" t="s">
        <v>7</v>
      </c>
      <c r="B1131" s="3" t="s">
        <v>18</v>
      </c>
      <c r="C1131" s="3">
        <v>50628.7</v>
      </c>
      <c r="D1131" s="4">
        <v>151886.1</v>
      </c>
      <c r="E1131" s="4">
        <v>50628.7</v>
      </c>
      <c r="F1131" s="4">
        <v>99634.98599999999</v>
      </c>
    </row>
    <row r="1132" spans="1:6" x14ac:dyDescent="0.2">
      <c r="A1132" s="3" t="s">
        <v>9</v>
      </c>
      <c r="B1132" s="3" t="s">
        <v>18</v>
      </c>
      <c r="C1132" s="3">
        <v>46940.14</v>
      </c>
      <c r="D1132" s="4">
        <v>140820.42000000001</v>
      </c>
      <c r="E1132" s="4">
        <v>46940.14</v>
      </c>
      <c r="F1132" s="4">
        <v>99634.98599999999</v>
      </c>
    </row>
    <row r="1133" spans="1:6" x14ac:dyDescent="0.2">
      <c r="A1133" s="3" t="s">
        <v>10</v>
      </c>
      <c r="B1133" s="3" t="s">
        <v>18</v>
      </c>
      <c r="C1133" s="3">
        <v>47282.67</v>
      </c>
      <c r="D1133" s="4">
        <v>141848.01</v>
      </c>
      <c r="E1133" s="4">
        <v>47282.67</v>
      </c>
      <c r="F1133" s="4">
        <v>99634.98599999999</v>
      </c>
    </row>
    <row r="1134" spans="1:6" x14ac:dyDescent="0.2">
      <c r="A1134" s="3" t="s">
        <v>11</v>
      </c>
      <c r="B1134" s="3" t="s">
        <v>18</v>
      </c>
      <c r="C1134" s="3">
        <v>57647.79</v>
      </c>
      <c r="D1134" s="4">
        <v>172943.37</v>
      </c>
      <c r="E1134" s="4">
        <v>57647.79</v>
      </c>
      <c r="F1134" s="4">
        <v>99634.98599999999</v>
      </c>
    </row>
    <row r="1135" spans="1:6" x14ac:dyDescent="0.2">
      <c r="A1135" s="3" t="s">
        <v>12</v>
      </c>
      <c r="B1135" s="3" t="s">
        <v>18</v>
      </c>
      <c r="C1135" s="3">
        <v>48410.36</v>
      </c>
      <c r="D1135" s="4">
        <v>145231.07999999999</v>
      </c>
      <c r="E1135" s="4">
        <v>48410.36</v>
      </c>
      <c r="F1135" s="4">
        <v>99634.98599999999</v>
      </c>
    </row>
    <row r="1136" spans="1:6" x14ac:dyDescent="0.2">
      <c r="A1136" s="3" t="s">
        <v>13</v>
      </c>
      <c r="B1136" s="3" t="s">
        <v>18</v>
      </c>
      <c r="C1136" s="3">
        <v>56450.66</v>
      </c>
      <c r="D1136" s="4">
        <v>169351.98</v>
      </c>
      <c r="E1136" s="4">
        <v>56450.66</v>
      </c>
      <c r="F1136" s="4">
        <v>99634.98599999999</v>
      </c>
    </row>
    <row r="1137" spans="1:6" x14ac:dyDescent="0.2">
      <c r="A1137" s="3" t="s">
        <v>7</v>
      </c>
      <c r="B1137" s="3" t="s">
        <v>18</v>
      </c>
      <c r="C1137" s="3">
        <v>54247.28</v>
      </c>
      <c r="D1137" s="4">
        <v>162741.84</v>
      </c>
      <c r="E1137" s="4">
        <v>54247.28</v>
      </c>
      <c r="F1137" s="4">
        <v>99634.98599999999</v>
      </c>
    </row>
    <row r="1138" spans="1:6" x14ac:dyDescent="0.2">
      <c r="A1138" s="3" t="s">
        <v>9</v>
      </c>
      <c r="B1138" s="3" t="s">
        <v>18</v>
      </c>
      <c r="C1138" s="3">
        <v>60358.79</v>
      </c>
      <c r="D1138" s="4">
        <v>181076.37</v>
      </c>
      <c r="E1138" s="4">
        <v>60358.79</v>
      </c>
      <c r="F1138" s="4">
        <v>99634.98599999999</v>
      </c>
    </row>
    <row r="1139" spans="1:6" x14ac:dyDescent="0.2">
      <c r="A1139" s="3" t="s">
        <v>10</v>
      </c>
      <c r="B1139" s="3" t="s">
        <v>18</v>
      </c>
      <c r="C1139" s="3">
        <v>72322.210000000006</v>
      </c>
      <c r="D1139" s="4">
        <v>216966.63</v>
      </c>
      <c r="E1139" s="4">
        <v>72322.210000000006</v>
      </c>
      <c r="F1139" s="4">
        <v>99634.98599999999</v>
      </c>
    </row>
    <row r="1140" spans="1:6" x14ac:dyDescent="0.2">
      <c r="A1140" s="3" t="s">
        <v>11</v>
      </c>
      <c r="B1140" s="3" t="s">
        <v>18</v>
      </c>
      <c r="C1140" s="3">
        <v>59662.080000000002</v>
      </c>
      <c r="D1140" s="4">
        <v>178986.23999999999</v>
      </c>
      <c r="E1140" s="4">
        <v>59662.080000000002</v>
      </c>
      <c r="F1140" s="4">
        <v>99634.98599999999</v>
      </c>
    </row>
    <row r="1141" spans="1:6" x14ac:dyDescent="0.2">
      <c r="A1141" s="3" t="s">
        <v>12</v>
      </c>
      <c r="B1141" s="3" t="s">
        <v>18</v>
      </c>
      <c r="C1141" s="3">
        <v>72863.67</v>
      </c>
      <c r="D1141" s="4">
        <v>218591.01</v>
      </c>
      <c r="E1141" s="4">
        <v>72863.67</v>
      </c>
      <c r="F1141" s="4">
        <v>99634.98599999999</v>
      </c>
    </row>
    <row r="1142" spans="1:6" x14ac:dyDescent="0.2">
      <c r="A1142" s="3" t="s">
        <v>13</v>
      </c>
      <c r="B1142" s="3" t="s">
        <v>18</v>
      </c>
      <c r="C1142" s="3">
        <v>80351.47</v>
      </c>
      <c r="D1142" s="4">
        <v>241054.41</v>
      </c>
      <c r="E1142" s="4">
        <v>80351.47</v>
      </c>
      <c r="F1142" s="4">
        <v>99634.98599999999</v>
      </c>
    </row>
    <row r="1143" spans="1:6" x14ac:dyDescent="0.2">
      <c r="A1143" s="3" t="s">
        <v>7</v>
      </c>
      <c r="B1143" s="3" t="s">
        <v>20</v>
      </c>
      <c r="C1143" s="3">
        <v>45504.91</v>
      </c>
      <c r="D1143" s="4">
        <v>136514.73000000001</v>
      </c>
      <c r="E1143" s="4">
        <v>45504.91</v>
      </c>
      <c r="F1143" s="4">
        <v>92182.01400000001</v>
      </c>
    </row>
    <row r="1144" spans="1:6" x14ac:dyDescent="0.2">
      <c r="A1144" s="3" t="s">
        <v>9</v>
      </c>
      <c r="B1144" s="3" t="s">
        <v>20</v>
      </c>
      <c r="C1144" s="3">
        <v>32392.41</v>
      </c>
      <c r="D1144" s="4">
        <v>97177.23</v>
      </c>
      <c r="E1144" s="4">
        <v>32392.41</v>
      </c>
      <c r="F1144" s="4">
        <v>92182.01400000001</v>
      </c>
    </row>
    <row r="1145" spans="1:6" x14ac:dyDescent="0.2">
      <c r="A1145" s="3" t="s">
        <v>10</v>
      </c>
      <c r="B1145" s="3" t="s">
        <v>20</v>
      </c>
      <c r="C1145" s="3">
        <v>43598.04</v>
      </c>
      <c r="D1145" s="4">
        <v>130794.12</v>
      </c>
      <c r="E1145" s="4">
        <v>43598.04</v>
      </c>
      <c r="F1145" s="4">
        <v>92182.01400000001</v>
      </c>
    </row>
    <row r="1146" spans="1:6" x14ac:dyDescent="0.2">
      <c r="A1146" s="3" t="s">
        <v>11</v>
      </c>
      <c r="B1146" s="3" t="s">
        <v>20</v>
      </c>
      <c r="C1146" s="3">
        <v>36369.660000000003</v>
      </c>
      <c r="D1146" s="4">
        <v>109108.98</v>
      </c>
      <c r="E1146" s="4">
        <v>36369.660000000003</v>
      </c>
      <c r="F1146" s="4">
        <v>92182.01400000001</v>
      </c>
    </row>
    <row r="1147" spans="1:6" x14ac:dyDescent="0.2">
      <c r="A1147" s="3" t="s">
        <v>12</v>
      </c>
      <c r="B1147" s="3" t="s">
        <v>20</v>
      </c>
      <c r="C1147" s="3">
        <v>47216.89</v>
      </c>
      <c r="D1147" s="4">
        <v>141650.67000000001</v>
      </c>
      <c r="E1147" s="4">
        <v>47216.89</v>
      </c>
      <c r="F1147" s="4">
        <v>92182.01400000001</v>
      </c>
    </row>
    <row r="1148" spans="1:6" x14ac:dyDescent="0.2">
      <c r="A1148" s="3" t="s">
        <v>13</v>
      </c>
      <c r="B1148" s="3" t="s">
        <v>20</v>
      </c>
      <c r="C1148" s="3">
        <v>47282.33</v>
      </c>
      <c r="D1148" s="4">
        <v>141846.99</v>
      </c>
      <c r="E1148" s="4">
        <v>47282.33</v>
      </c>
      <c r="F1148" s="4">
        <v>92182.01400000001</v>
      </c>
    </row>
    <row r="1149" spans="1:6" x14ac:dyDescent="0.2">
      <c r="A1149" s="3" t="s">
        <v>7</v>
      </c>
      <c r="B1149" s="3" t="s">
        <v>15</v>
      </c>
      <c r="C1149" s="3">
        <v>54583.8</v>
      </c>
      <c r="D1149" s="4">
        <v>163751.4</v>
      </c>
      <c r="E1149" s="4">
        <v>54583.8</v>
      </c>
      <c r="F1149" s="4">
        <v>95796.692999999999</v>
      </c>
    </row>
    <row r="1150" spans="1:6" x14ac:dyDescent="0.2">
      <c r="A1150" s="3" t="s">
        <v>9</v>
      </c>
      <c r="B1150" s="3" t="s">
        <v>15</v>
      </c>
      <c r="C1150" s="3">
        <v>77617.759999999995</v>
      </c>
      <c r="D1150" s="4">
        <v>232853.28</v>
      </c>
      <c r="E1150" s="4">
        <v>77617.759999999995</v>
      </c>
      <c r="F1150" s="4">
        <v>95796.692999999999</v>
      </c>
    </row>
    <row r="1151" spans="1:6" x14ac:dyDescent="0.2">
      <c r="A1151" s="3" t="s">
        <v>10</v>
      </c>
      <c r="B1151" s="3" t="s">
        <v>15</v>
      </c>
      <c r="C1151" s="3">
        <v>57017.15</v>
      </c>
      <c r="D1151" s="4">
        <v>171051.45</v>
      </c>
      <c r="E1151" s="4">
        <v>57017.15</v>
      </c>
      <c r="F1151" s="4">
        <v>95796.692999999999</v>
      </c>
    </row>
    <row r="1152" spans="1:6" x14ac:dyDescent="0.2">
      <c r="A1152" s="3" t="s">
        <v>11</v>
      </c>
      <c r="B1152" s="3" t="s">
        <v>15</v>
      </c>
      <c r="C1152" s="3">
        <v>74761.8</v>
      </c>
      <c r="D1152" s="4">
        <v>224285.4</v>
      </c>
      <c r="E1152" s="4">
        <v>74761.8</v>
      </c>
      <c r="F1152" s="4">
        <v>95796.692999999999</v>
      </c>
    </row>
    <row r="1153" spans="1:6" x14ac:dyDescent="0.2">
      <c r="A1153" s="3" t="s">
        <v>12</v>
      </c>
      <c r="B1153" s="3" t="s">
        <v>15</v>
      </c>
      <c r="C1153" s="3">
        <v>93964.37</v>
      </c>
      <c r="D1153" s="4">
        <v>281893.11</v>
      </c>
      <c r="E1153" s="4">
        <v>93964.37</v>
      </c>
      <c r="F1153" s="4">
        <v>95796.692999999999</v>
      </c>
    </row>
    <row r="1154" spans="1:6" x14ac:dyDescent="0.2">
      <c r="A1154" s="3" t="s">
        <v>13</v>
      </c>
      <c r="B1154" s="3" t="s">
        <v>15</v>
      </c>
      <c r="C1154" s="3">
        <v>96468.02</v>
      </c>
      <c r="D1154" s="4">
        <v>289404.06</v>
      </c>
      <c r="E1154" s="4">
        <v>96468.02</v>
      </c>
      <c r="F1154" s="4">
        <v>95796.692999999999</v>
      </c>
    </row>
    <row r="1155" spans="1:6" x14ac:dyDescent="0.2">
      <c r="A1155" s="3" t="s">
        <v>7</v>
      </c>
      <c r="B1155" s="3" t="s">
        <v>14</v>
      </c>
      <c r="C1155" s="3">
        <v>43053.35</v>
      </c>
      <c r="D1155" s="4">
        <v>129160.05</v>
      </c>
      <c r="E1155" s="4">
        <v>43053.35</v>
      </c>
      <c r="F1155" s="4">
        <v>92194.631999999998</v>
      </c>
    </row>
    <row r="1156" spans="1:6" x14ac:dyDescent="0.2">
      <c r="A1156" s="3" t="s">
        <v>9</v>
      </c>
      <c r="B1156" s="3" t="s">
        <v>14</v>
      </c>
      <c r="C1156" s="3">
        <v>43061.34</v>
      </c>
      <c r="D1156" s="4">
        <v>129184.02</v>
      </c>
      <c r="E1156" s="4">
        <v>43061.34</v>
      </c>
      <c r="F1156" s="4">
        <v>92194.631999999998</v>
      </c>
    </row>
    <row r="1157" spans="1:6" x14ac:dyDescent="0.2">
      <c r="A1157" s="3" t="s">
        <v>10</v>
      </c>
      <c r="B1157" s="3" t="s">
        <v>14</v>
      </c>
      <c r="C1157" s="3">
        <v>47738.98</v>
      </c>
      <c r="D1157" s="4">
        <v>143216.94</v>
      </c>
      <c r="E1157" s="4">
        <v>47738.98</v>
      </c>
      <c r="F1157" s="4">
        <v>92194.631999999998</v>
      </c>
    </row>
    <row r="1158" spans="1:6" x14ac:dyDescent="0.2">
      <c r="A1158" s="3" t="s">
        <v>11</v>
      </c>
      <c r="B1158" s="3" t="s">
        <v>14</v>
      </c>
      <c r="C1158" s="3">
        <v>64038.19</v>
      </c>
      <c r="D1158" s="4">
        <v>192114.57</v>
      </c>
      <c r="E1158" s="4">
        <v>64038.19</v>
      </c>
      <c r="F1158" s="4">
        <v>92194.631999999998</v>
      </c>
    </row>
    <row r="1159" spans="1:6" x14ac:dyDescent="0.2">
      <c r="A1159" s="3" t="s">
        <v>12</v>
      </c>
      <c r="B1159" s="3" t="s">
        <v>14</v>
      </c>
      <c r="C1159" s="3">
        <v>62093.83</v>
      </c>
      <c r="D1159" s="4">
        <v>186281.49</v>
      </c>
      <c r="E1159" s="4">
        <v>62093.83</v>
      </c>
      <c r="F1159" s="4">
        <v>92194.631999999998</v>
      </c>
    </row>
    <row r="1160" spans="1:6" x14ac:dyDescent="0.2">
      <c r="A1160" s="3" t="s">
        <v>13</v>
      </c>
      <c r="B1160" s="3" t="s">
        <v>14</v>
      </c>
      <c r="C1160" s="3">
        <v>66899.19</v>
      </c>
      <c r="D1160" s="4">
        <v>200697.57</v>
      </c>
      <c r="E1160" s="4">
        <v>66899.19</v>
      </c>
      <c r="F1160" s="4">
        <v>92194.631999999998</v>
      </c>
    </row>
    <row r="1161" spans="1:6" x14ac:dyDescent="0.2">
      <c r="A1161" s="3" t="s">
        <v>7</v>
      </c>
      <c r="B1161" s="3" t="s">
        <v>14</v>
      </c>
      <c r="C1161" s="3">
        <v>40187.46</v>
      </c>
      <c r="D1161" s="4">
        <v>120562.38</v>
      </c>
      <c r="E1161" s="4">
        <v>40187.46</v>
      </c>
      <c r="F1161" s="4">
        <v>92194.631999999998</v>
      </c>
    </row>
    <row r="1162" spans="1:6" x14ac:dyDescent="0.2">
      <c r="A1162" s="3" t="s">
        <v>9</v>
      </c>
      <c r="B1162" s="3" t="s">
        <v>14</v>
      </c>
      <c r="C1162" s="3">
        <v>39810.85</v>
      </c>
      <c r="D1162" s="4">
        <v>119432.55</v>
      </c>
      <c r="E1162" s="4">
        <v>39810.85</v>
      </c>
      <c r="F1162" s="4">
        <v>92194.631999999998</v>
      </c>
    </row>
    <row r="1163" spans="1:6" x14ac:dyDescent="0.2">
      <c r="A1163" s="3" t="s">
        <v>10</v>
      </c>
      <c r="B1163" s="3" t="s">
        <v>14</v>
      </c>
      <c r="C1163" s="3">
        <v>35884.6</v>
      </c>
      <c r="D1163" s="4">
        <v>107653.8</v>
      </c>
      <c r="E1163" s="4">
        <v>35884.6</v>
      </c>
      <c r="F1163" s="4">
        <v>92194.631999999998</v>
      </c>
    </row>
    <row r="1164" spans="1:6" x14ac:dyDescent="0.2">
      <c r="A1164" s="3" t="s">
        <v>11</v>
      </c>
      <c r="B1164" s="3" t="s">
        <v>14</v>
      </c>
      <c r="C1164" s="3">
        <v>46048.639999999999</v>
      </c>
      <c r="D1164" s="4">
        <v>138145.92000000001</v>
      </c>
      <c r="E1164" s="4">
        <v>46048.639999999999</v>
      </c>
      <c r="F1164" s="4">
        <v>92194.631999999998</v>
      </c>
    </row>
    <row r="1165" spans="1:6" x14ac:dyDescent="0.2">
      <c r="A1165" s="3" t="s">
        <v>12</v>
      </c>
      <c r="B1165" s="3" t="s">
        <v>14</v>
      </c>
      <c r="C1165" s="3">
        <v>44409.34</v>
      </c>
      <c r="D1165" s="4">
        <v>133228.01999999999</v>
      </c>
      <c r="E1165" s="4">
        <v>44409.34</v>
      </c>
      <c r="F1165" s="4">
        <v>92194.631999999998</v>
      </c>
    </row>
    <row r="1166" spans="1:6" x14ac:dyDescent="0.2">
      <c r="A1166" s="3" t="s">
        <v>13</v>
      </c>
      <c r="B1166" s="3" t="s">
        <v>14</v>
      </c>
      <c r="C1166" s="3">
        <v>30919.97</v>
      </c>
      <c r="D1166" s="4">
        <v>92759.91</v>
      </c>
      <c r="E1166" s="4">
        <v>30919.97</v>
      </c>
      <c r="F1166" s="4">
        <v>92194.631999999998</v>
      </c>
    </row>
    <row r="1167" spans="1:6" x14ac:dyDescent="0.2">
      <c r="A1167" s="3" t="s">
        <v>7</v>
      </c>
      <c r="B1167" s="3" t="s">
        <v>15</v>
      </c>
      <c r="C1167" s="3">
        <v>70412.75</v>
      </c>
      <c r="D1167" s="4">
        <v>211238.25</v>
      </c>
      <c r="E1167" s="4">
        <v>70412.75</v>
      </c>
      <c r="F1167" s="4">
        <v>95796.692999999999</v>
      </c>
    </row>
    <row r="1168" spans="1:6" x14ac:dyDescent="0.2">
      <c r="A1168" s="3" t="s">
        <v>9</v>
      </c>
      <c r="B1168" s="3" t="s">
        <v>15</v>
      </c>
      <c r="C1168" s="3">
        <v>69895.97</v>
      </c>
      <c r="D1168" s="4">
        <v>209687.91</v>
      </c>
      <c r="E1168" s="4">
        <v>69895.97</v>
      </c>
      <c r="F1168" s="4">
        <v>95796.692999999999</v>
      </c>
    </row>
    <row r="1169" spans="1:6" x14ac:dyDescent="0.2">
      <c r="A1169" s="3" t="s">
        <v>10</v>
      </c>
      <c r="B1169" s="3" t="s">
        <v>15</v>
      </c>
      <c r="C1169" s="3">
        <v>78601.460000000006</v>
      </c>
      <c r="D1169" s="4">
        <v>235804.38</v>
      </c>
      <c r="E1169" s="4">
        <v>78601.460000000006</v>
      </c>
      <c r="F1169" s="4">
        <v>95796.692999999999</v>
      </c>
    </row>
    <row r="1170" spans="1:6" x14ac:dyDescent="0.2">
      <c r="A1170" s="3" t="s">
        <v>11</v>
      </c>
      <c r="B1170" s="3" t="s">
        <v>15</v>
      </c>
      <c r="C1170" s="3">
        <v>66744.92</v>
      </c>
      <c r="D1170" s="4">
        <v>200234.76</v>
      </c>
      <c r="E1170" s="4">
        <v>66744.92</v>
      </c>
      <c r="F1170" s="4">
        <v>95796.692999999999</v>
      </c>
    </row>
    <row r="1171" spans="1:6" x14ac:dyDescent="0.2">
      <c r="A1171" s="3" t="s">
        <v>12</v>
      </c>
      <c r="B1171" s="3" t="s">
        <v>15</v>
      </c>
      <c r="C1171" s="3">
        <v>79570.64</v>
      </c>
      <c r="D1171" s="4">
        <v>238711.92</v>
      </c>
      <c r="E1171" s="4">
        <v>79570.64</v>
      </c>
      <c r="F1171" s="4">
        <v>95796.692999999999</v>
      </c>
    </row>
    <row r="1172" spans="1:6" x14ac:dyDescent="0.2">
      <c r="A1172" s="3" t="s">
        <v>13</v>
      </c>
      <c r="B1172" s="3" t="s">
        <v>15</v>
      </c>
      <c r="C1172" s="3">
        <v>73458.64</v>
      </c>
      <c r="D1172" s="4">
        <v>220375.92</v>
      </c>
      <c r="E1172" s="4">
        <v>73458.64</v>
      </c>
      <c r="F1172" s="4">
        <v>95796.692999999999</v>
      </c>
    </row>
    <row r="1173" spans="1:6" x14ac:dyDescent="0.2">
      <c r="A1173" s="3" t="s">
        <v>7</v>
      </c>
      <c r="B1173" s="3" t="s">
        <v>21</v>
      </c>
      <c r="C1173" s="3">
        <v>78912.81</v>
      </c>
      <c r="D1173" s="4">
        <v>236738.43</v>
      </c>
      <c r="E1173" s="4">
        <v>78912.81</v>
      </c>
      <c r="F1173" s="4">
        <v>100474.88400000001</v>
      </c>
    </row>
    <row r="1174" spans="1:6" x14ac:dyDescent="0.2">
      <c r="A1174" s="3" t="s">
        <v>9</v>
      </c>
      <c r="B1174" s="3" t="s">
        <v>21</v>
      </c>
      <c r="C1174" s="3">
        <v>61086.5</v>
      </c>
      <c r="D1174" s="4">
        <v>183259.5</v>
      </c>
      <c r="E1174" s="4">
        <v>61086.5</v>
      </c>
      <c r="F1174" s="4">
        <v>100474.88400000001</v>
      </c>
    </row>
    <row r="1175" spans="1:6" x14ac:dyDescent="0.2">
      <c r="A1175" s="3" t="s">
        <v>10</v>
      </c>
      <c r="B1175" s="3" t="s">
        <v>21</v>
      </c>
      <c r="C1175" s="3">
        <v>84352.67</v>
      </c>
      <c r="D1175" s="4">
        <v>253058.01</v>
      </c>
      <c r="E1175" s="4">
        <v>84352.67</v>
      </c>
      <c r="F1175" s="4">
        <v>100474.88400000001</v>
      </c>
    </row>
    <row r="1176" spans="1:6" x14ac:dyDescent="0.2">
      <c r="A1176" s="3" t="s">
        <v>11</v>
      </c>
      <c r="B1176" s="3" t="s">
        <v>21</v>
      </c>
      <c r="C1176" s="3">
        <v>56980.81</v>
      </c>
      <c r="D1176" s="4">
        <v>170942.43</v>
      </c>
      <c r="E1176" s="4">
        <v>56980.81</v>
      </c>
      <c r="F1176" s="4">
        <v>100474.88400000001</v>
      </c>
    </row>
    <row r="1177" spans="1:6" x14ac:dyDescent="0.2">
      <c r="A1177" s="3" t="s">
        <v>12</v>
      </c>
      <c r="B1177" s="3" t="s">
        <v>21</v>
      </c>
      <c r="C1177" s="3">
        <v>66008.7</v>
      </c>
      <c r="D1177" s="4">
        <v>198026.1</v>
      </c>
      <c r="E1177" s="4">
        <v>66008.7</v>
      </c>
      <c r="F1177" s="4">
        <v>100474.88400000001</v>
      </c>
    </row>
    <row r="1178" spans="1:6" x14ac:dyDescent="0.2">
      <c r="A1178" s="3" t="s">
        <v>13</v>
      </c>
      <c r="B1178" s="3" t="s">
        <v>21</v>
      </c>
      <c r="C1178" s="3">
        <v>77210.06</v>
      </c>
      <c r="D1178" s="4">
        <v>231630.18</v>
      </c>
      <c r="E1178" s="4">
        <v>77210.06</v>
      </c>
      <c r="F1178" s="4">
        <v>100474.88400000001</v>
      </c>
    </row>
    <row r="1179" spans="1:6" x14ac:dyDescent="0.2">
      <c r="A1179" s="3" t="s">
        <v>7</v>
      </c>
      <c r="B1179" s="3" t="s">
        <v>17</v>
      </c>
      <c r="C1179" s="3">
        <v>68130.94</v>
      </c>
      <c r="D1179" s="4">
        <v>204392.82</v>
      </c>
      <c r="E1179" s="4">
        <v>68130.94</v>
      </c>
      <c r="F1179" s="4">
        <v>83740.842000000004</v>
      </c>
    </row>
    <row r="1180" spans="1:6" x14ac:dyDescent="0.2">
      <c r="A1180" s="3" t="s">
        <v>9</v>
      </c>
      <c r="B1180" s="3" t="s">
        <v>17</v>
      </c>
      <c r="C1180" s="3">
        <v>91387.58</v>
      </c>
      <c r="D1180" s="4">
        <v>274162.74</v>
      </c>
      <c r="E1180" s="4">
        <v>91387.58</v>
      </c>
      <c r="F1180" s="4">
        <v>83740.842000000004</v>
      </c>
    </row>
    <row r="1181" spans="1:6" x14ac:dyDescent="0.2">
      <c r="A1181" s="3" t="s">
        <v>10</v>
      </c>
      <c r="B1181" s="3" t="s">
        <v>17</v>
      </c>
      <c r="C1181" s="3">
        <v>80873.179999999993</v>
      </c>
      <c r="D1181" s="4">
        <v>242619.54</v>
      </c>
      <c r="E1181" s="4">
        <v>80873.179999999993</v>
      </c>
      <c r="F1181" s="4">
        <v>83740.842000000004</v>
      </c>
    </row>
    <row r="1182" spans="1:6" x14ac:dyDescent="0.2">
      <c r="A1182" s="3" t="s">
        <v>11</v>
      </c>
      <c r="B1182" s="3" t="s">
        <v>17</v>
      </c>
      <c r="C1182" s="3">
        <v>89357.3</v>
      </c>
      <c r="D1182" s="4">
        <v>268071.90000000002</v>
      </c>
      <c r="E1182" s="4">
        <v>89357.3</v>
      </c>
      <c r="F1182" s="4">
        <v>83740.842000000004</v>
      </c>
    </row>
    <row r="1183" spans="1:6" x14ac:dyDescent="0.2">
      <c r="A1183" s="3" t="s">
        <v>12</v>
      </c>
      <c r="B1183" s="3" t="s">
        <v>17</v>
      </c>
      <c r="C1183" s="3">
        <v>87394.26</v>
      </c>
      <c r="D1183" s="4">
        <v>262182.78000000003</v>
      </c>
      <c r="E1183" s="4">
        <v>87394.26</v>
      </c>
      <c r="F1183" s="4">
        <v>83740.842000000004</v>
      </c>
    </row>
    <row r="1184" spans="1:6" x14ac:dyDescent="0.2">
      <c r="A1184" s="3" t="s">
        <v>13</v>
      </c>
      <c r="B1184" s="3" t="s">
        <v>17</v>
      </c>
      <c r="C1184" s="3">
        <v>63987.87</v>
      </c>
      <c r="D1184" s="4">
        <v>191963.61</v>
      </c>
      <c r="E1184" s="4">
        <v>63987.87</v>
      </c>
      <c r="F1184" s="4">
        <v>83740.842000000004</v>
      </c>
    </row>
    <row r="1185" spans="1:6" x14ac:dyDescent="0.2">
      <c r="A1185" s="3" t="s">
        <v>7</v>
      </c>
      <c r="B1185" s="3" t="s">
        <v>16</v>
      </c>
      <c r="C1185" s="3">
        <v>55774.52</v>
      </c>
      <c r="D1185" s="4">
        <v>167323.56</v>
      </c>
      <c r="E1185" s="4">
        <v>55774.52</v>
      </c>
      <c r="F1185" s="4">
        <v>94304.313000000009</v>
      </c>
    </row>
    <row r="1186" spans="1:6" x14ac:dyDescent="0.2">
      <c r="A1186" s="3" t="s">
        <v>9</v>
      </c>
      <c r="B1186" s="3" t="s">
        <v>16</v>
      </c>
      <c r="C1186" s="3">
        <v>70206.52</v>
      </c>
      <c r="D1186" s="4">
        <v>210619.56</v>
      </c>
      <c r="E1186" s="4">
        <v>70206.52</v>
      </c>
      <c r="F1186" s="4">
        <v>94304.313000000009</v>
      </c>
    </row>
    <row r="1187" spans="1:6" x14ac:dyDescent="0.2">
      <c r="A1187" s="3" t="s">
        <v>10</v>
      </c>
      <c r="B1187" s="3" t="s">
        <v>16</v>
      </c>
      <c r="C1187" s="3">
        <v>60496.08</v>
      </c>
      <c r="D1187" s="4">
        <v>181488.24</v>
      </c>
      <c r="E1187" s="4">
        <v>60496.08</v>
      </c>
      <c r="F1187" s="4">
        <v>94304.313000000009</v>
      </c>
    </row>
    <row r="1188" spans="1:6" x14ac:dyDescent="0.2">
      <c r="A1188" s="3" t="s">
        <v>11</v>
      </c>
      <c r="B1188" s="3" t="s">
        <v>16</v>
      </c>
      <c r="C1188" s="3">
        <v>68952.570000000007</v>
      </c>
      <c r="D1188" s="4">
        <v>206857.71</v>
      </c>
      <c r="E1188" s="4">
        <v>68952.570000000007</v>
      </c>
      <c r="F1188" s="4">
        <v>94304.313000000009</v>
      </c>
    </row>
    <row r="1189" spans="1:6" x14ac:dyDescent="0.2">
      <c r="A1189" s="3" t="s">
        <v>12</v>
      </c>
      <c r="B1189" s="3" t="s">
        <v>16</v>
      </c>
      <c r="C1189" s="3">
        <v>61326.26</v>
      </c>
      <c r="D1189" s="4">
        <v>183978.78</v>
      </c>
      <c r="E1189" s="4">
        <v>61326.26</v>
      </c>
      <c r="F1189" s="4">
        <v>94304.313000000009</v>
      </c>
    </row>
    <row r="1190" spans="1:6" x14ac:dyDescent="0.2">
      <c r="A1190" s="3" t="s">
        <v>13</v>
      </c>
      <c r="B1190" s="3" t="s">
        <v>16</v>
      </c>
      <c r="C1190" s="3">
        <v>63701.38</v>
      </c>
      <c r="D1190" s="4">
        <v>191104.14</v>
      </c>
      <c r="E1190" s="4">
        <v>63701.38</v>
      </c>
      <c r="F1190" s="4">
        <v>94304.313000000009</v>
      </c>
    </row>
    <row r="1191" spans="1:6" x14ac:dyDescent="0.2">
      <c r="A1191" s="3" t="s">
        <v>7</v>
      </c>
      <c r="B1191" s="3" t="s">
        <v>18</v>
      </c>
      <c r="C1191" s="3">
        <v>46614.06</v>
      </c>
      <c r="D1191" s="4">
        <v>139842.18</v>
      </c>
      <c r="E1191" s="4">
        <v>46614.06</v>
      </c>
      <c r="F1191" s="4">
        <v>99634.98599999999</v>
      </c>
    </row>
    <row r="1192" spans="1:6" x14ac:dyDescent="0.2">
      <c r="A1192" s="3" t="s">
        <v>9</v>
      </c>
      <c r="B1192" s="3" t="s">
        <v>18</v>
      </c>
      <c r="C1192" s="3">
        <v>36935.11</v>
      </c>
      <c r="D1192" s="4">
        <v>110805.33</v>
      </c>
      <c r="E1192" s="4">
        <v>36935.11</v>
      </c>
      <c r="F1192" s="4">
        <v>99634.98599999999</v>
      </c>
    </row>
    <row r="1193" spans="1:6" x14ac:dyDescent="0.2">
      <c r="A1193" s="3" t="s">
        <v>10</v>
      </c>
      <c r="B1193" s="3" t="s">
        <v>18</v>
      </c>
      <c r="C1193" s="3">
        <v>37613.79</v>
      </c>
      <c r="D1193" s="4">
        <v>112841.37</v>
      </c>
      <c r="E1193" s="4">
        <v>37613.79</v>
      </c>
      <c r="F1193" s="4">
        <v>99634.98599999999</v>
      </c>
    </row>
    <row r="1194" spans="1:6" x14ac:dyDescent="0.2">
      <c r="A1194" s="3" t="s">
        <v>11</v>
      </c>
      <c r="B1194" s="3" t="s">
        <v>18</v>
      </c>
      <c r="C1194" s="3">
        <v>32496.84</v>
      </c>
      <c r="D1194" s="4">
        <v>97490.52</v>
      </c>
      <c r="E1194" s="4">
        <v>32496.84</v>
      </c>
      <c r="F1194" s="4">
        <v>99634.98599999999</v>
      </c>
    </row>
    <row r="1195" spans="1:6" x14ac:dyDescent="0.2">
      <c r="A1195" s="3" t="s">
        <v>12</v>
      </c>
      <c r="B1195" s="3" t="s">
        <v>18</v>
      </c>
      <c r="C1195" s="3">
        <v>34741.480000000003</v>
      </c>
      <c r="D1195" s="4">
        <v>104224.44</v>
      </c>
      <c r="E1195" s="4">
        <v>34741.480000000003</v>
      </c>
      <c r="F1195" s="4">
        <v>99634.98599999999</v>
      </c>
    </row>
    <row r="1196" spans="1:6" x14ac:dyDescent="0.2">
      <c r="A1196" s="3" t="s">
        <v>13</v>
      </c>
      <c r="B1196" s="3" t="s">
        <v>18</v>
      </c>
      <c r="C1196" s="3">
        <v>44172.68</v>
      </c>
      <c r="D1196" s="4">
        <v>132518.04</v>
      </c>
      <c r="E1196" s="4">
        <v>44172.68</v>
      </c>
      <c r="F1196" s="4">
        <v>99634.98599999999</v>
      </c>
    </row>
    <row r="1197" spans="1:6" x14ac:dyDescent="0.2">
      <c r="A1197" s="3" t="s">
        <v>7</v>
      </c>
      <c r="B1197" s="3" t="s">
        <v>15</v>
      </c>
      <c r="C1197" s="3">
        <v>49827.97</v>
      </c>
      <c r="D1197" s="4">
        <v>149483.91</v>
      </c>
      <c r="E1197" s="4">
        <v>49827.97</v>
      </c>
      <c r="F1197" s="4">
        <v>95796.692999999999</v>
      </c>
    </row>
    <row r="1198" spans="1:6" x14ac:dyDescent="0.2">
      <c r="A1198" s="3" t="s">
        <v>9</v>
      </c>
      <c r="B1198" s="3" t="s">
        <v>15</v>
      </c>
      <c r="C1198" s="3">
        <v>54247.3</v>
      </c>
      <c r="D1198" s="4">
        <v>162741.9</v>
      </c>
      <c r="E1198" s="4">
        <v>54247.3</v>
      </c>
      <c r="F1198" s="4">
        <v>95796.692999999999</v>
      </c>
    </row>
    <row r="1199" spans="1:6" x14ac:dyDescent="0.2">
      <c r="A1199" s="3" t="s">
        <v>10</v>
      </c>
      <c r="B1199" s="3" t="s">
        <v>15</v>
      </c>
      <c r="C1199" s="3">
        <v>53330.81</v>
      </c>
      <c r="D1199" s="4">
        <v>159992.43</v>
      </c>
      <c r="E1199" s="4">
        <v>53330.81</v>
      </c>
      <c r="F1199" s="4">
        <v>95796.692999999999</v>
      </c>
    </row>
    <row r="1200" spans="1:6" x14ac:dyDescent="0.2">
      <c r="A1200" s="3" t="s">
        <v>11</v>
      </c>
      <c r="B1200" s="3" t="s">
        <v>15</v>
      </c>
      <c r="C1200" s="3">
        <v>46326.25</v>
      </c>
      <c r="D1200" s="4">
        <v>138978.75</v>
      </c>
      <c r="E1200" s="4">
        <v>46326.25</v>
      </c>
      <c r="F1200" s="4">
        <v>95796.692999999999</v>
      </c>
    </row>
    <row r="1201" spans="1:6" x14ac:dyDescent="0.2">
      <c r="A1201" s="3" t="s">
        <v>12</v>
      </c>
      <c r="B1201" s="3" t="s">
        <v>15</v>
      </c>
      <c r="C1201" s="3">
        <v>47759.12</v>
      </c>
      <c r="D1201" s="4">
        <v>143277.35999999999</v>
      </c>
      <c r="E1201" s="4">
        <v>47759.12</v>
      </c>
      <c r="F1201" s="4">
        <v>95796.692999999999</v>
      </c>
    </row>
    <row r="1202" spans="1:6" x14ac:dyDescent="0.2">
      <c r="A1202" s="3" t="s">
        <v>13</v>
      </c>
      <c r="B1202" s="3" t="s">
        <v>15</v>
      </c>
      <c r="C1202" s="3">
        <v>69128.56</v>
      </c>
      <c r="D1202" s="4">
        <v>207385.68</v>
      </c>
      <c r="E1202" s="4">
        <v>69128.56</v>
      </c>
      <c r="F1202" s="4">
        <v>95796.692999999999</v>
      </c>
    </row>
    <row r="1203" spans="1:6" x14ac:dyDescent="0.2">
      <c r="A1203" s="3" t="s">
        <v>7</v>
      </c>
      <c r="B1203" s="3" t="s">
        <v>21</v>
      </c>
      <c r="C1203" s="3">
        <v>62733.71</v>
      </c>
      <c r="D1203" s="4">
        <v>188201.13</v>
      </c>
      <c r="E1203" s="4">
        <v>62733.71</v>
      </c>
      <c r="F1203" s="4">
        <v>100474.88400000001</v>
      </c>
    </row>
    <row r="1204" spans="1:6" x14ac:dyDescent="0.2">
      <c r="A1204" s="3" t="s">
        <v>9</v>
      </c>
      <c r="B1204" s="3" t="s">
        <v>21</v>
      </c>
      <c r="C1204" s="3">
        <v>63264.11</v>
      </c>
      <c r="D1204" s="4">
        <v>189792.33</v>
      </c>
      <c r="E1204" s="4">
        <v>63264.11</v>
      </c>
      <c r="F1204" s="4">
        <v>100474.88400000001</v>
      </c>
    </row>
    <row r="1205" spans="1:6" x14ac:dyDescent="0.2">
      <c r="A1205" s="3" t="s">
        <v>10</v>
      </c>
      <c r="B1205" s="3" t="s">
        <v>21</v>
      </c>
      <c r="C1205" s="3">
        <v>71292.56</v>
      </c>
      <c r="D1205" s="4">
        <v>213877.68</v>
      </c>
      <c r="E1205" s="4">
        <v>71292.56</v>
      </c>
      <c r="F1205" s="4">
        <v>100474.88400000001</v>
      </c>
    </row>
    <row r="1206" spans="1:6" x14ac:dyDescent="0.2">
      <c r="A1206" s="3" t="s">
        <v>11</v>
      </c>
      <c r="B1206" s="3" t="s">
        <v>21</v>
      </c>
      <c r="C1206" s="3">
        <v>59153.63</v>
      </c>
      <c r="D1206" s="4">
        <v>177460.89</v>
      </c>
      <c r="E1206" s="4">
        <v>59153.63</v>
      </c>
      <c r="F1206" s="4">
        <v>100474.88400000001</v>
      </c>
    </row>
    <row r="1207" spans="1:6" x14ac:dyDescent="0.2">
      <c r="A1207" s="3" t="s">
        <v>12</v>
      </c>
      <c r="B1207" s="3" t="s">
        <v>21</v>
      </c>
      <c r="C1207" s="3">
        <v>61584.37</v>
      </c>
      <c r="D1207" s="4">
        <v>184753.11</v>
      </c>
      <c r="E1207" s="4">
        <v>61584.37</v>
      </c>
      <c r="F1207" s="4">
        <v>100474.88400000001</v>
      </c>
    </row>
    <row r="1208" spans="1:6" x14ac:dyDescent="0.2">
      <c r="A1208" s="3" t="s">
        <v>13</v>
      </c>
      <c r="B1208" s="3" t="s">
        <v>21</v>
      </c>
      <c r="C1208" s="3">
        <v>69398.100000000006</v>
      </c>
      <c r="D1208" s="4">
        <v>208194.3</v>
      </c>
      <c r="E1208" s="4">
        <v>69398.100000000006</v>
      </c>
      <c r="F1208" s="4">
        <v>100474.88400000001</v>
      </c>
    </row>
    <row r="1209" spans="1:6" x14ac:dyDescent="0.2">
      <c r="A1209" s="3" t="s">
        <v>7</v>
      </c>
      <c r="B1209" s="3" t="s">
        <v>8</v>
      </c>
      <c r="C1209" s="3">
        <v>76345.710000000006</v>
      </c>
      <c r="D1209" s="4">
        <v>229037.13</v>
      </c>
      <c r="E1209" s="4">
        <v>76345.710000000006</v>
      </c>
      <c r="F1209" s="4">
        <v>91734.462</v>
      </c>
    </row>
    <row r="1210" spans="1:6" x14ac:dyDescent="0.2">
      <c r="A1210" s="3" t="s">
        <v>9</v>
      </c>
      <c r="B1210" s="3" t="s">
        <v>8</v>
      </c>
      <c r="C1210" s="3">
        <v>81466.94</v>
      </c>
      <c r="D1210" s="4">
        <v>244400.82</v>
      </c>
      <c r="E1210" s="4">
        <v>81466.94</v>
      </c>
      <c r="F1210" s="4">
        <v>91734.462</v>
      </c>
    </row>
    <row r="1211" spans="1:6" x14ac:dyDescent="0.2">
      <c r="A1211" s="3" t="s">
        <v>10</v>
      </c>
      <c r="B1211" s="3" t="s">
        <v>8</v>
      </c>
      <c r="C1211" s="3">
        <v>82993.22</v>
      </c>
      <c r="D1211" s="4">
        <v>248979.66</v>
      </c>
      <c r="E1211" s="4">
        <v>82993.22</v>
      </c>
      <c r="F1211" s="4">
        <v>91734.462</v>
      </c>
    </row>
    <row r="1212" spans="1:6" x14ac:dyDescent="0.2">
      <c r="A1212" s="3" t="s">
        <v>11</v>
      </c>
      <c r="B1212" s="3" t="s">
        <v>8</v>
      </c>
      <c r="C1212" s="3">
        <v>74978.3</v>
      </c>
      <c r="D1212" s="4">
        <v>224934.9</v>
      </c>
      <c r="E1212" s="4">
        <v>74978.3</v>
      </c>
      <c r="F1212" s="4">
        <v>91734.462</v>
      </c>
    </row>
    <row r="1213" spans="1:6" x14ac:dyDescent="0.2">
      <c r="A1213" s="3" t="s">
        <v>12</v>
      </c>
      <c r="B1213" s="3" t="s">
        <v>8</v>
      </c>
      <c r="C1213" s="3">
        <v>86625.1</v>
      </c>
      <c r="D1213" s="4">
        <v>259875.3</v>
      </c>
      <c r="E1213" s="4">
        <v>86625.1</v>
      </c>
      <c r="F1213" s="4">
        <v>91734.462</v>
      </c>
    </row>
    <row r="1214" spans="1:6" x14ac:dyDescent="0.2">
      <c r="A1214" s="3" t="s">
        <v>13</v>
      </c>
      <c r="B1214" s="3" t="s">
        <v>8</v>
      </c>
      <c r="C1214" s="3">
        <v>72851.990000000005</v>
      </c>
      <c r="D1214" s="4">
        <v>218555.97</v>
      </c>
      <c r="E1214" s="4">
        <v>72851.990000000005</v>
      </c>
      <c r="F1214" s="4">
        <v>91734.462</v>
      </c>
    </row>
    <row r="1215" spans="1:6" x14ac:dyDescent="0.2">
      <c r="A1215" s="3" t="s">
        <v>7</v>
      </c>
      <c r="B1215" s="3" t="s">
        <v>20</v>
      </c>
      <c r="C1215" s="3">
        <v>71396.100000000006</v>
      </c>
      <c r="D1215" s="4">
        <v>214188.3</v>
      </c>
      <c r="E1215" s="4">
        <v>71396.100000000006</v>
      </c>
      <c r="F1215" s="4">
        <v>92182.01400000001</v>
      </c>
    </row>
    <row r="1216" spans="1:6" x14ac:dyDescent="0.2">
      <c r="A1216" s="3" t="s">
        <v>9</v>
      </c>
      <c r="B1216" s="3" t="s">
        <v>20</v>
      </c>
      <c r="C1216" s="3">
        <v>54470.84</v>
      </c>
      <c r="D1216" s="4">
        <v>163412.51999999999</v>
      </c>
      <c r="E1216" s="4">
        <v>54470.84</v>
      </c>
      <c r="F1216" s="4">
        <v>92182.01400000001</v>
      </c>
    </row>
    <row r="1217" spans="1:6" x14ac:dyDescent="0.2">
      <c r="A1217" s="3" t="s">
        <v>10</v>
      </c>
      <c r="B1217" s="3" t="s">
        <v>20</v>
      </c>
      <c r="C1217" s="3">
        <v>65955.75</v>
      </c>
      <c r="D1217" s="4">
        <v>197867.25</v>
      </c>
      <c r="E1217" s="4">
        <v>65955.75</v>
      </c>
      <c r="F1217" s="4">
        <v>92182.01400000001</v>
      </c>
    </row>
    <row r="1218" spans="1:6" x14ac:dyDescent="0.2">
      <c r="A1218" s="3" t="s">
        <v>11</v>
      </c>
      <c r="B1218" s="3" t="s">
        <v>20</v>
      </c>
      <c r="C1218" s="3">
        <v>59172.4</v>
      </c>
      <c r="D1218" s="4">
        <v>177517.2</v>
      </c>
      <c r="E1218" s="4">
        <v>59172.4</v>
      </c>
      <c r="F1218" s="4">
        <v>92182.01400000001</v>
      </c>
    </row>
    <row r="1219" spans="1:6" x14ac:dyDescent="0.2">
      <c r="A1219" s="3" t="s">
        <v>12</v>
      </c>
      <c r="B1219" s="3" t="s">
        <v>20</v>
      </c>
      <c r="C1219" s="3">
        <v>78328.83</v>
      </c>
      <c r="D1219" s="4">
        <v>234986.49</v>
      </c>
      <c r="E1219" s="4">
        <v>78328.83</v>
      </c>
      <c r="F1219" s="4">
        <v>92182.01400000001</v>
      </c>
    </row>
    <row r="1220" spans="1:6" x14ac:dyDescent="0.2">
      <c r="A1220" s="3" t="s">
        <v>13</v>
      </c>
      <c r="B1220" s="3" t="s">
        <v>20</v>
      </c>
      <c r="C1220" s="3">
        <v>79348.36</v>
      </c>
      <c r="D1220" s="4">
        <v>238045.08</v>
      </c>
      <c r="E1220" s="4">
        <v>79348.36</v>
      </c>
      <c r="F1220" s="4">
        <v>92182.01400000001</v>
      </c>
    </row>
    <row r="1221" spans="1:6" x14ac:dyDescent="0.2">
      <c r="A1221" s="3" t="s">
        <v>7</v>
      </c>
      <c r="B1221" s="3" t="s">
        <v>16</v>
      </c>
      <c r="C1221" s="3">
        <v>71398.75</v>
      </c>
      <c r="D1221" s="4">
        <v>214196.25</v>
      </c>
      <c r="E1221" s="4">
        <v>71398.75</v>
      </c>
      <c r="F1221" s="4">
        <v>94304.313000000009</v>
      </c>
    </row>
    <row r="1222" spans="1:6" x14ac:dyDescent="0.2">
      <c r="A1222" s="3" t="s">
        <v>9</v>
      </c>
      <c r="B1222" s="3" t="s">
        <v>16</v>
      </c>
      <c r="C1222" s="3">
        <v>68182.600000000006</v>
      </c>
      <c r="D1222" s="4">
        <v>204547.8</v>
      </c>
      <c r="E1222" s="4">
        <v>68182.600000000006</v>
      </c>
      <c r="F1222" s="4">
        <v>94304.313000000009</v>
      </c>
    </row>
    <row r="1223" spans="1:6" x14ac:dyDescent="0.2">
      <c r="A1223" s="3" t="s">
        <v>10</v>
      </c>
      <c r="B1223" s="3" t="s">
        <v>16</v>
      </c>
      <c r="C1223" s="3">
        <v>57877.760000000002</v>
      </c>
      <c r="D1223" s="4">
        <v>173633.28</v>
      </c>
      <c r="E1223" s="4">
        <v>57877.760000000002</v>
      </c>
      <c r="F1223" s="4">
        <v>94304.313000000009</v>
      </c>
    </row>
    <row r="1224" spans="1:6" x14ac:dyDescent="0.2">
      <c r="A1224" s="3" t="s">
        <v>11</v>
      </c>
      <c r="B1224" s="3" t="s">
        <v>16</v>
      </c>
      <c r="C1224" s="3">
        <v>82504.399999999994</v>
      </c>
      <c r="D1224" s="4">
        <v>247513.2</v>
      </c>
      <c r="E1224" s="4">
        <v>82504.399999999994</v>
      </c>
      <c r="F1224" s="4">
        <v>94304.313000000009</v>
      </c>
    </row>
    <row r="1225" spans="1:6" x14ac:dyDescent="0.2">
      <c r="A1225" s="3" t="s">
        <v>12</v>
      </c>
      <c r="B1225" s="3" t="s">
        <v>16</v>
      </c>
      <c r="C1225" s="3">
        <v>57611.39</v>
      </c>
      <c r="D1225" s="4">
        <v>172834.17</v>
      </c>
      <c r="E1225" s="4">
        <v>57611.39</v>
      </c>
      <c r="F1225" s="4">
        <v>94304.313000000009</v>
      </c>
    </row>
    <row r="1226" spans="1:6" x14ac:dyDescent="0.2">
      <c r="A1226" s="3" t="s">
        <v>13</v>
      </c>
      <c r="B1226" s="3" t="s">
        <v>16</v>
      </c>
      <c r="C1226" s="3">
        <v>78286.100000000006</v>
      </c>
      <c r="D1226" s="4">
        <v>234858.3</v>
      </c>
      <c r="E1226" s="4">
        <v>78286.100000000006</v>
      </c>
      <c r="F1226" s="4">
        <v>94304.313000000009</v>
      </c>
    </row>
    <row r="1227" spans="1:6" x14ac:dyDescent="0.2">
      <c r="A1227" s="3" t="s">
        <v>7</v>
      </c>
      <c r="B1227" s="3" t="s">
        <v>21</v>
      </c>
      <c r="C1227" s="3">
        <v>25521.73</v>
      </c>
      <c r="D1227" s="4">
        <v>76565.19</v>
      </c>
      <c r="E1227" s="4">
        <v>25521.73</v>
      </c>
      <c r="F1227" s="4">
        <v>100474.88400000001</v>
      </c>
    </row>
    <row r="1228" spans="1:6" x14ac:dyDescent="0.2">
      <c r="A1228" s="3" t="s">
        <v>9</v>
      </c>
      <c r="B1228" s="3" t="s">
        <v>21</v>
      </c>
      <c r="C1228" s="3">
        <v>34646.74</v>
      </c>
      <c r="D1228" s="4">
        <v>103940.22</v>
      </c>
      <c r="E1228" s="4">
        <v>34646.74</v>
      </c>
      <c r="F1228" s="4">
        <v>100474.88400000001</v>
      </c>
    </row>
    <row r="1229" spans="1:6" x14ac:dyDescent="0.2">
      <c r="A1229" s="3" t="s">
        <v>10</v>
      </c>
      <c r="B1229" s="3" t="s">
        <v>21</v>
      </c>
      <c r="C1229" s="3">
        <v>25346.639999999999</v>
      </c>
      <c r="D1229" s="4">
        <v>76039.92</v>
      </c>
      <c r="E1229" s="4">
        <v>25346.639999999999</v>
      </c>
      <c r="F1229" s="4">
        <v>100474.88400000001</v>
      </c>
    </row>
    <row r="1230" spans="1:6" x14ac:dyDescent="0.2">
      <c r="A1230" s="3" t="s">
        <v>11</v>
      </c>
      <c r="B1230" s="3" t="s">
        <v>21</v>
      </c>
      <c r="C1230" s="3">
        <v>34549.46</v>
      </c>
      <c r="D1230" s="4">
        <v>103648.38</v>
      </c>
      <c r="E1230" s="4">
        <v>34549.46</v>
      </c>
      <c r="F1230" s="4">
        <v>100474.88400000001</v>
      </c>
    </row>
    <row r="1231" spans="1:6" x14ac:dyDescent="0.2">
      <c r="A1231" s="3" t="s">
        <v>12</v>
      </c>
      <c r="B1231" s="3" t="s">
        <v>21</v>
      </c>
      <c r="C1231" s="3">
        <v>30467.65</v>
      </c>
      <c r="D1231" s="4">
        <v>91402.950000000012</v>
      </c>
      <c r="E1231" s="4">
        <v>30467.65</v>
      </c>
      <c r="F1231" s="4">
        <v>100474.88400000001</v>
      </c>
    </row>
    <row r="1232" spans="1:6" x14ac:dyDescent="0.2">
      <c r="A1232" s="3" t="s">
        <v>13</v>
      </c>
      <c r="B1232" s="3" t="s">
        <v>21</v>
      </c>
      <c r="C1232" s="3">
        <v>36514.43</v>
      </c>
      <c r="D1232" s="4">
        <v>109543.29</v>
      </c>
      <c r="E1232" s="4">
        <v>36514.43</v>
      </c>
      <c r="F1232" s="4">
        <v>100474.88400000001</v>
      </c>
    </row>
    <row r="1233" spans="1:6" x14ac:dyDescent="0.2">
      <c r="A1233" s="3" t="s">
        <v>7</v>
      </c>
      <c r="B1233" s="3" t="s">
        <v>18</v>
      </c>
      <c r="C1233" s="3">
        <v>34781.129999999997</v>
      </c>
      <c r="D1233" s="4">
        <v>104343.39</v>
      </c>
      <c r="E1233" s="4">
        <v>34781.129999999997</v>
      </c>
      <c r="F1233" s="4">
        <v>99634.98599999999</v>
      </c>
    </row>
    <row r="1234" spans="1:6" x14ac:dyDescent="0.2">
      <c r="A1234" s="3" t="s">
        <v>9</v>
      </c>
      <c r="B1234" s="3" t="s">
        <v>18</v>
      </c>
      <c r="C1234" s="3">
        <v>38095.31</v>
      </c>
      <c r="D1234" s="4">
        <v>114285.93</v>
      </c>
      <c r="E1234" s="4">
        <v>38095.31</v>
      </c>
      <c r="F1234" s="4">
        <v>99634.98599999999</v>
      </c>
    </row>
    <row r="1235" spans="1:6" x14ac:dyDescent="0.2">
      <c r="A1235" s="3" t="s">
        <v>10</v>
      </c>
      <c r="B1235" s="3" t="s">
        <v>18</v>
      </c>
      <c r="C1235" s="3">
        <v>60487.8</v>
      </c>
      <c r="D1235" s="4">
        <v>181463.4</v>
      </c>
      <c r="E1235" s="4">
        <v>60487.8</v>
      </c>
      <c r="F1235" s="4">
        <v>99634.98599999999</v>
      </c>
    </row>
    <row r="1236" spans="1:6" x14ac:dyDescent="0.2">
      <c r="A1236" s="3" t="s">
        <v>11</v>
      </c>
      <c r="B1236" s="3" t="s">
        <v>18</v>
      </c>
      <c r="C1236" s="3">
        <v>48387.1</v>
      </c>
      <c r="D1236" s="4">
        <v>145161.29999999999</v>
      </c>
      <c r="E1236" s="4">
        <v>48387.1</v>
      </c>
      <c r="F1236" s="4">
        <v>99634.98599999999</v>
      </c>
    </row>
    <row r="1237" spans="1:6" x14ac:dyDescent="0.2">
      <c r="A1237" s="3" t="s">
        <v>12</v>
      </c>
      <c r="B1237" s="3" t="s">
        <v>18</v>
      </c>
      <c r="C1237" s="3">
        <v>46111.85</v>
      </c>
      <c r="D1237" s="4">
        <v>138335.54999999999</v>
      </c>
      <c r="E1237" s="4">
        <v>46111.85</v>
      </c>
      <c r="F1237" s="4">
        <v>99634.98599999999</v>
      </c>
    </row>
    <row r="1238" spans="1:6" x14ac:dyDescent="0.2">
      <c r="A1238" s="3" t="s">
        <v>13</v>
      </c>
      <c r="B1238" s="3" t="s">
        <v>18</v>
      </c>
      <c r="C1238" s="3">
        <v>64506.27</v>
      </c>
      <c r="D1238" s="4">
        <v>193518.81</v>
      </c>
      <c r="E1238" s="4">
        <v>64506.27</v>
      </c>
      <c r="F1238" s="4">
        <v>99634.98599999999</v>
      </c>
    </row>
    <row r="1239" spans="1:6" x14ac:dyDescent="0.2">
      <c r="A1239" s="3" t="s">
        <v>7</v>
      </c>
      <c r="B1239" s="3" t="s">
        <v>15</v>
      </c>
      <c r="C1239" s="3">
        <v>58321.62</v>
      </c>
      <c r="D1239" s="4">
        <v>174964.86</v>
      </c>
      <c r="E1239" s="4">
        <v>58321.62</v>
      </c>
      <c r="F1239" s="4">
        <v>95796.692999999999</v>
      </c>
    </row>
    <row r="1240" spans="1:6" x14ac:dyDescent="0.2">
      <c r="A1240" s="3" t="s">
        <v>9</v>
      </c>
      <c r="B1240" s="3" t="s">
        <v>15</v>
      </c>
      <c r="C1240" s="3">
        <v>48140.91</v>
      </c>
      <c r="D1240" s="4">
        <v>144422.73000000001</v>
      </c>
      <c r="E1240" s="4">
        <v>48140.91</v>
      </c>
      <c r="F1240" s="4">
        <v>95796.692999999999</v>
      </c>
    </row>
    <row r="1241" spans="1:6" x14ac:dyDescent="0.2">
      <c r="A1241" s="3" t="s">
        <v>10</v>
      </c>
      <c r="B1241" s="3" t="s">
        <v>15</v>
      </c>
      <c r="C1241" s="3">
        <v>54030.32</v>
      </c>
      <c r="D1241" s="4">
        <v>162090.96</v>
      </c>
      <c r="E1241" s="4">
        <v>54030.32</v>
      </c>
      <c r="F1241" s="4">
        <v>95796.692999999999</v>
      </c>
    </row>
    <row r="1242" spans="1:6" x14ac:dyDescent="0.2">
      <c r="A1242" s="3" t="s">
        <v>11</v>
      </c>
      <c r="B1242" s="3" t="s">
        <v>15</v>
      </c>
      <c r="C1242" s="3">
        <v>70113.22</v>
      </c>
      <c r="D1242" s="4">
        <v>210339.66</v>
      </c>
      <c r="E1242" s="4">
        <v>70113.22</v>
      </c>
      <c r="F1242" s="4">
        <v>95796.692999999999</v>
      </c>
    </row>
    <row r="1243" spans="1:6" x14ac:dyDescent="0.2">
      <c r="A1243" s="3" t="s">
        <v>12</v>
      </c>
      <c r="B1243" s="3" t="s">
        <v>15</v>
      </c>
      <c r="C1243" s="3">
        <v>68247.850000000006</v>
      </c>
      <c r="D1243" s="4">
        <v>204743.55</v>
      </c>
      <c r="E1243" s="4">
        <v>68247.850000000006</v>
      </c>
      <c r="F1243" s="4">
        <v>95796.692999999999</v>
      </c>
    </row>
    <row r="1244" spans="1:6" x14ac:dyDescent="0.2">
      <c r="A1244" s="3" t="s">
        <v>13</v>
      </c>
      <c r="B1244" s="3" t="s">
        <v>15</v>
      </c>
      <c r="C1244" s="3">
        <v>69022.740000000005</v>
      </c>
      <c r="D1244" s="4">
        <v>207068.22</v>
      </c>
      <c r="E1244" s="4">
        <v>69022.740000000005</v>
      </c>
      <c r="F1244" s="4">
        <v>95796.692999999999</v>
      </c>
    </row>
    <row r="1245" spans="1:6" x14ac:dyDescent="0.2">
      <c r="A1245" s="3" t="s">
        <v>7</v>
      </c>
      <c r="B1245" s="3" t="s">
        <v>18</v>
      </c>
      <c r="C1245" s="3">
        <v>47013.85</v>
      </c>
      <c r="D1245" s="4">
        <v>141041.54999999999</v>
      </c>
      <c r="E1245" s="4">
        <v>47013.85</v>
      </c>
      <c r="F1245" s="4">
        <v>99634.98599999999</v>
      </c>
    </row>
    <row r="1246" spans="1:6" x14ac:dyDescent="0.2">
      <c r="A1246" s="3" t="s">
        <v>9</v>
      </c>
      <c r="B1246" s="3" t="s">
        <v>18</v>
      </c>
      <c r="C1246" s="3">
        <v>75725.539999999994</v>
      </c>
      <c r="D1246" s="4">
        <v>227176.62</v>
      </c>
      <c r="E1246" s="4">
        <v>75725.539999999994</v>
      </c>
      <c r="F1246" s="4">
        <v>99634.98599999999</v>
      </c>
    </row>
    <row r="1247" spans="1:6" x14ac:dyDescent="0.2">
      <c r="A1247" s="3" t="s">
        <v>10</v>
      </c>
      <c r="B1247" s="3" t="s">
        <v>18</v>
      </c>
      <c r="C1247" s="3">
        <v>61900.47</v>
      </c>
      <c r="D1247" s="4">
        <v>185701.41</v>
      </c>
      <c r="E1247" s="4">
        <v>61900.47</v>
      </c>
      <c r="F1247" s="4">
        <v>99634.98599999999</v>
      </c>
    </row>
    <row r="1248" spans="1:6" x14ac:dyDescent="0.2">
      <c r="A1248" s="3" t="s">
        <v>11</v>
      </c>
      <c r="B1248" s="3" t="s">
        <v>18</v>
      </c>
      <c r="C1248" s="3">
        <v>70293.62</v>
      </c>
      <c r="D1248" s="4">
        <v>210880.86</v>
      </c>
      <c r="E1248" s="4">
        <v>70293.62</v>
      </c>
      <c r="F1248" s="4">
        <v>99634.98599999999</v>
      </c>
    </row>
    <row r="1249" spans="1:6" x14ac:dyDescent="0.2">
      <c r="A1249" s="3" t="s">
        <v>12</v>
      </c>
      <c r="B1249" s="3" t="s">
        <v>18</v>
      </c>
      <c r="C1249" s="3">
        <v>60995.43</v>
      </c>
      <c r="D1249" s="4">
        <v>182986.29</v>
      </c>
      <c r="E1249" s="4">
        <v>60995.43</v>
      </c>
      <c r="F1249" s="4">
        <v>99634.98599999999</v>
      </c>
    </row>
    <row r="1250" spans="1:6" x14ac:dyDescent="0.2">
      <c r="A1250" s="3" t="s">
        <v>13</v>
      </c>
      <c r="B1250" s="3" t="s">
        <v>18</v>
      </c>
      <c r="C1250" s="3">
        <v>68391.12</v>
      </c>
      <c r="D1250" s="4">
        <v>205173.36</v>
      </c>
      <c r="E1250" s="4">
        <v>68391.12</v>
      </c>
      <c r="F1250" s="4">
        <v>99634.98599999999</v>
      </c>
    </row>
    <row r="1251" spans="1:6" x14ac:dyDescent="0.2">
      <c r="A1251" s="3" t="s">
        <v>7</v>
      </c>
      <c r="B1251" s="3" t="s">
        <v>20</v>
      </c>
      <c r="C1251" s="3">
        <v>41756.46</v>
      </c>
      <c r="D1251" s="4">
        <v>125269.38</v>
      </c>
      <c r="E1251" s="4">
        <v>41756.46</v>
      </c>
      <c r="F1251" s="4">
        <v>92182.01400000001</v>
      </c>
    </row>
    <row r="1252" spans="1:6" x14ac:dyDescent="0.2">
      <c r="A1252" s="3" t="s">
        <v>9</v>
      </c>
      <c r="B1252" s="3" t="s">
        <v>20</v>
      </c>
      <c r="C1252" s="3">
        <v>43820.42</v>
      </c>
      <c r="D1252" s="4">
        <v>131461.26</v>
      </c>
      <c r="E1252" s="4">
        <v>43820.42</v>
      </c>
      <c r="F1252" s="4">
        <v>92182.01400000001</v>
      </c>
    </row>
    <row r="1253" spans="1:6" x14ac:dyDescent="0.2">
      <c r="A1253" s="3" t="s">
        <v>10</v>
      </c>
      <c r="B1253" s="3" t="s">
        <v>20</v>
      </c>
      <c r="C1253" s="3">
        <v>39220.080000000002</v>
      </c>
      <c r="D1253" s="4">
        <v>117660.24</v>
      </c>
      <c r="E1253" s="4">
        <v>39220.080000000002</v>
      </c>
      <c r="F1253" s="4">
        <v>92182.01400000001</v>
      </c>
    </row>
    <row r="1254" spans="1:6" x14ac:dyDescent="0.2">
      <c r="A1254" s="3" t="s">
        <v>11</v>
      </c>
      <c r="B1254" s="3" t="s">
        <v>20</v>
      </c>
      <c r="C1254" s="3">
        <v>35749.18</v>
      </c>
      <c r="D1254" s="4">
        <v>107247.54</v>
      </c>
      <c r="E1254" s="4">
        <v>35749.18</v>
      </c>
      <c r="F1254" s="4">
        <v>92182.01400000001</v>
      </c>
    </row>
    <row r="1255" spans="1:6" x14ac:dyDescent="0.2">
      <c r="A1255" s="3" t="s">
        <v>12</v>
      </c>
      <c r="B1255" s="3" t="s">
        <v>20</v>
      </c>
      <c r="C1255" s="3">
        <v>48598.57</v>
      </c>
      <c r="D1255" s="4">
        <v>145795.71</v>
      </c>
      <c r="E1255" s="4">
        <v>48598.57</v>
      </c>
      <c r="F1255" s="4">
        <v>92182.01400000001</v>
      </c>
    </row>
    <row r="1256" spans="1:6" x14ac:dyDescent="0.2">
      <c r="A1256" s="3" t="s">
        <v>13</v>
      </c>
      <c r="B1256" s="3" t="s">
        <v>20</v>
      </c>
      <c r="C1256" s="3">
        <v>48628.75</v>
      </c>
      <c r="D1256" s="4">
        <v>145886.25</v>
      </c>
      <c r="E1256" s="4">
        <v>48628.75</v>
      </c>
      <c r="F1256" s="4">
        <v>92182.01400000001</v>
      </c>
    </row>
    <row r="1257" spans="1:6" x14ac:dyDescent="0.2">
      <c r="A1257" s="3" t="s">
        <v>7</v>
      </c>
      <c r="B1257" s="3" t="s">
        <v>8</v>
      </c>
      <c r="C1257" s="3">
        <v>73236.210000000006</v>
      </c>
      <c r="D1257" s="4">
        <v>219708.63</v>
      </c>
      <c r="E1257" s="4">
        <v>73236.210000000006</v>
      </c>
      <c r="F1257" s="4">
        <v>91734.462</v>
      </c>
    </row>
    <row r="1258" spans="1:6" x14ac:dyDescent="0.2">
      <c r="A1258" s="3" t="s">
        <v>9</v>
      </c>
      <c r="B1258" s="3" t="s">
        <v>8</v>
      </c>
      <c r="C1258" s="3">
        <v>56611.01</v>
      </c>
      <c r="D1258" s="4">
        <v>169833.03</v>
      </c>
      <c r="E1258" s="4">
        <v>56611.01</v>
      </c>
      <c r="F1258" s="4">
        <v>91734.462</v>
      </c>
    </row>
    <row r="1259" spans="1:6" x14ac:dyDescent="0.2">
      <c r="A1259" s="3" t="s">
        <v>10</v>
      </c>
      <c r="B1259" s="3" t="s">
        <v>8</v>
      </c>
      <c r="C1259" s="3">
        <v>65173.53</v>
      </c>
      <c r="D1259" s="4">
        <v>195520.59</v>
      </c>
      <c r="E1259" s="4">
        <v>65173.53</v>
      </c>
      <c r="F1259" s="4">
        <v>91734.462</v>
      </c>
    </row>
    <row r="1260" spans="1:6" x14ac:dyDescent="0.2">
      <c r="A1260" s="3" t="s">
        <v>11</v>
      </c>
      <c r="B1260" s="3" t="s">
        <v>8</v>
      </c>
      <c r="C1260" s="3">
        <v>49003.01</v>
      </c>
      <c r="D1260" s="4">
        <v>147009.03</v>
      </c>
      <c r="E1260" s="4">
        <v>49003.01</v>
      </c>
      <c r="F1260" s="4">
        <v>91734.462</v>
      </c>
    </row>
    <row r="1261" spans="1:6" x14ac:dyDescent="0.2">
      <c r="A1261" s="3" t="s">
        <v>12</v>
      </c>
      <c r="B1261" s="3" t="s">
        <v>8</v>
      </c>
      <c r="C1261" s="3">
        <v>75676.11</v>
      </c>
      <c r="D1261" s="4">
        <v>227028.33</v>
      </c>
      <c r="E1261" s="4">
        <v>75676.11</v>
      </c>
      <c r="F1261" s="4">
        <v>91734.462</v>
      </c>
    </row>
    <row r="1262" spans="1:6" x14ac:dyDescent="0.2">
      <c r="A1262" s="3" t="s">
        <v>13</v>
      </c>
      <c r="B1262" s="3" t="s">
        <v>8</v>
      </c>
      <c r="C1262" s="3">
        <v>72080.710000000006</v>
      </c>
      <c r="D1262" s="4">
        <v>216242.13</v>
      </c>
      <c r="E1262" s="4">
        <v>72080.710000000006</v>
      </c>
      <c r="F1262" s="4">
        <v>91734.462</v>
      </c>
    </row>
    <row r="1263" spans="1:6" x14ac:dyDescent="0.2">
      <c r="A1263" s="3" t="s">
        <v>7</v>
      </c>
      <c r="B1263" s="3" t="s">
        <v>17</v>
      </c>
      <c r="C1263" s="3">
        <v>78800.41</v>
      </c>
      <c r="D1263" s="4">
        <v>236401.23</v>
      </c>
      <c r="E1263" s="4">
        <v>78800.41</v>
      </c>
      <c r="F1263" s="4">
        <v>83740.842000000004</v>
      </c>
    </row>
    <row r="1264" spans="1:6" x14ac:dyDescent="0.2">
      <c r="A1264" s="3" t="s">
        <v>9</v>
      </c>
      <c r="B1264" s="3" t="s">
        <v>17</v>
      </c>
      <c r="C1264" s="3">
        <v>56363.16</v>
      </c>
      <c r="D1264" s="4">
        <v>169089.48</v>
      </c>
      <c r="E1264" s="4">
        <v>56363.16</v>
      </c>
      <c r="F1264" s="4">
        <v>83740.842000000004</v>
      </c>
    </row>
    <row r="1265" spans="1:6" x14ac:dyDescent="0.2">
      <c r="A1265" s="3" t="s">
        <v>10</v>
      </c>
      <c r="B1265" s="3" t="s">
        <v>17</v>
      </c>
      <c r="C1265" s="3">
        <v>55390.879999999997</v>
      </c>
      <c r="D1265" s="4">
        <v>166172.64000000001</v>
      </c>
      <c r="E1265" s="4">
        <v>55390.879999999997</v>
      </c>
      <c r="F1265" s="4">
        <v>83740.842000000004</v>
      </c>
    </row>
    <row r="1266" spans="1:6" x14ac:dyDescent="0.2">
      <c r="A1266" s="3" t="s">
        <v>11</v>
      </c>
      <c r="B1266" s="3" t="s">
        <v>17</v>
      </c>
      <c r="C1266" s="3">
        <v>64523.21</v>
      </c>
      <c r="D1266" s="4">
        <v>193569.63</v>
      </c>
      <c r="E1266" s="4">
        <v>64523.21</v>
      </c>
      <c r="F1266" s="4">
        <v>83740.842000000004</v>
      </c>
    </row>
    <row r="1267" spans="1:6" x14ac:dyDescent="0.2">
      <c r="A1267" s="3" t="s">
        <v>12</v>
      </c>
      <c r="B1267" s="3" t="s">
        <v>17</v>
      </c>
      <c r="C1267" s="3">
        <v>90558.01</v>
      </c>
      <c r="D1267" s="4">
        <v>271674.03000000003</v>
      </c>
      <c r="E1267" s="4">
        <v>90558.01</v>
      </c>
      <c r="F1267" s="4">
        <v>83740.842000000004</v>
      </c>
    </row>
    <row r="1268" spans="1:6" x14ac:dyDescent="0.2">
      <c r="A1268" s="3" t="s">
        <v>13</v>
      </c>
      <c r="B1268" s="3" t="s">
        <v>17</v>
      </c>
      <c r="C1268" s="3">
        <v>70372.83</v>
      </c>
      <c r="D1268" s="4">
        <v>211118.49</v>
      </c>
      <c r="E1268" s="4">
        <v>70372.83</v>
      </c>
      <c r="F1268" s="4">
        <v>83740.842000000004</v>
      </c>
    </row>
    <row r="1269" spans="1:6" x14ac:dyDescent="0.2">
      <c r="A1269" s="3" t="s">
        <v>7</v>
      </c>
      <c r="B1269" s="3" t="s">
        <v>19</v>
      </c>
      <c r="C1269" s="3">
        <v>39144.68</v>
      </c>
      <c r="D1269" s="4">
        <v>117434.04</v>
      </c>
      <c r="E1269" s="4">
        <v>39144.68</v>
      </c>
      <c r="F1269" s="4">
        <v>101747.052</v>
      </c>
    </row>
    <row r="1270" spans="1:6" x14ac:dyDescent="0.2">
      <c r="A1270" s="3" t="s">
        <v>9</v>
      </c>
      <c r="B1270" s="3" t="s">
        <v>19</v>
      </c>
      <c r="C1270" s="3">
        <v>26990.5</v>
      </c>
      <c r="D1270" s="4">
        <v>80971.5</v>
      </c>
      <c r="E1270" s="4">
        <v>26990.5</v>
      </c>
      <c r="F1270" s="4">
        <v>101747.052</v>
      </c>
    </row>
    <row r="1271" spans="1:6" x14ac:dyDescent="0.2">
      <c r="A1271" s="3" t="s">
        <v>10</v>
      </c>
      <c r="B1271" s="3" t="s">
        <v>19</v>
      </c>
      <c r="C1271" s="3">
        <v>40789.879999999997</v>
      </c>
      <c r="D1271" s="4">
        <v>122369.64</v>
      </c>
      <c r="E1271" s="4">
        <v>40789.879999999997</v>
      </c>
      <c r="F1271" s="4">
        <v>101747.052</v>
      </c>
    </row>
    <row r="1272" spans="1:6" x14ac:dyDescent="0.2">
      <c r="A1272" s="3" t="s">
        <v>11</v>
      </c>
      <c r="B1272" s="3" t="s">
        <v>19</v>
      </c>
      <c r="C1272" s="3">
        <v>45627.61</v>
      </c>
      <c r="D1272" s="4">
        <v>136882.82999999999</v>
      </c>
      <c r="E1272" s="4">
        <v>45627.61</v>
      </c>
      <c r="F1272" s="4">
        <v>101747.052</v>
      </c>
    </row>
    <row r="1273" spans="1:6" x14ac:dyDescent="0.2">
      <c r="A1273" s="3" t="s">
        <v>12</v>
      </c>
      <c r="B1273" s="3" t="s">
        <v>19</v>
      </c>
      <c r="C1273" s="3">
        <v>37836.769999999997</v>
      </c>
      <c r="D1273" s="4">
        <v>113510.31</v>
      </c>
      <c r="E1273" s="4">
        <v>37836.769999999997</v>
      </c>
      <c r="F1273" s="4">
        <v>101747.052</v>
      </c>
    </row>
    <row r="1274" spans="1:6" x14ac:dyDescent="0.2">
      <c r="A1274" s="3" t="s">
        <v>13</v>
      </c>
      <c r="B1274" s="3" t="s">
        <v>19</v>
      </c>
      <c r="C1274" s="3">
        <v>45851.06</v>
      </c>
      <c r="D1274" s="4">
        <v>137553.18</v>
      </c>
      <c r="E1274" s="4">
        <v>45851.06</v>
      </c>
      <c r="F1274" s="4">
        <v>101747.052</v>
      </c>
    </row>
    <row r="1275" spans="1:6" x14ac:dyDescent="0.2">
      <c r="A1275" s="3" t="s">
        <v>7</v>
      </c>
      <c r="B1275" s="3" t="s">
        <v>17</v>
      </c>
      <c r="C1275" s="3">
        <v>64807.14</v>
      </c>
      <c r="D1275" s="4">
        <v>194421.42</v>
      </c>
      <c r="E1275" s="4">
        <v>64807.14</v>
      </c>
      <c r="F1275" s="4">
        <v>83740.842000000004</v>
      </c>
    </row>
    <row r="1276" spans="1:6" x14ac:dyDescent="0.2">
      <c r="A1276" s="3" t="s">
        <v>9</v>
      </c>
      <c r="B1276" s="3" t="s">
        <v>17</v>
      </c>
      <c r="C1276" s="3">
        <v>42163.46</v>
      </c>
      <c r="D1276" s="4">
        <v>126490.38</v>
      </c>
      <c r="E1276" s="4">
        <v>42163.46</v>
      </c>
      <c r="F1276" s="4">
        <v>83740.842000000004</v>
      </c>
    </row>
    <row r="1277" spans="1:6" x14ac:dyDescent="0.2">
      <c r="A1277" s="3" t="s">
        <v>10</v>
      </c>
      <c r="B1277" s="3" t="s">
        <v>17</v>
      </c>
      <c r="C1277" s="3">
        <v>63556.25</v>
      </c>
      <c r="D1277" s="4">
        <v>190668.75</v>
      </c>
      <c r="E1277" s="4">
        <v>63556.25</v>
      </c>
      <c r="F1277" s="4">
        <v>83740.842000000004</v>
      </c>
    </row>
    <row r="1278" spans="1:6" x14ac:dyDescent="0.2">
      <c r="A1278" s="3" t="s">
        <v>11</v>
      </c>
      <c r="B1278" s="3" t="s">
        <v>17</v>
      </c>
      <c r="C1278" s="3">
        <v>56395.58</v>
      </c>
      <c r="D1278" s="4">
        <v>169186.74</v>
      </c>
      <c r="E1278" s="4">
        <v>56395.58</v>
      </c>
      <c r="F1278" s="4">
        <v>83740.842000000004</v>
      </c>
    </row>
    <row r="1279" spans="1:6" x14ac:dyDescent="0.2">
      <c r="A1279" s="3" t="s">
        <v>12</v>
      </c>
      <c r="B1279" s="3" t="s">
        <v>17</v>
      </c>
      <c r="C1279" s="3">
        <v>67789.350000000006</v>
      </c>
      <c r="D1279" s="4">
        <v>203368.05</v>
      </c>
      <c r="E1279" s="4">
        <v>67789.350000000006</v>
      </c>
      <c r="F1279" s="4">
        <v>83740.842000000004</v>
      </c>
    </row>
    <row r="1280" spans="1:6" x14ac:dyDescent="0.2">
      <c r="A1280" s="3" t="s">
        <v>13</v>
      </c>
      <c r="B1280" s="3" t="s">
        <v>17</v>
      </c>
      <c r="C1280" s="3">
        <v>72078.679999999993</v>
      </c>
      <c r="D1280" s="4">
        <v>216236.04</v>
      </c>
      <c r="E1280" s="4">
        <v>72078.679999999993</v>
      </c>
      <c r="F1280" s="4">
        <v>83740.842000000004</v>
      </c>
    </row>
    <row r="1281" spans="1:6" x14ac:dyDescent="0.2">
      <c r="A1281" s="3" t="s">
        <v>7</v>
      </c>
      <c r="B1281" s="3" t="s">
        <v>19</v>
      </c>
      <c r="C1281" s="3">
        <v>36448.39</v>
      </c>
      <c r="D1281" s="4">
        <v>109345.17</v>
      </c>
      <c r="E1281" s="4">
        <v>36448.39</v>
      </c>
      <c r="F1281" s="4">
        <v>101747.052</v>
      </c>
    </row>
    <row r="1282" spans="1:6" x14ac:dyDescent="0.2">
      <c r="A1282" s="3" t="s">
        <v>9</v>
      </c>
      <c r="B1282" s="3" t="s">
        <v>19</v>
      </c>
      <c r="C1282" s="3">
        <v>34956.42</v>
      </c>
      <c r="D1282" s="4">
        <v>104869.26</v>
      </c>
      <c r="E1282" s="4">
        <v>34956.42</v>
      </c>
      <c r="F1282" s="4">
        <v>101747.052</v>
      </c>
    </row>
    <row r="1283" spans="1:6" x14ac:dyDescent="0.2">
      <c r="A1283" s="3" t="s">
        <v>10</v>
      </c>
      <c r="B1283" s="3" t="s">
        <v>19</v>
      </c>
      <c r="C1283" s="3">
        <v>47293.59</v>
      </c>
      <c r="D1283" s="4">
        <v>141880.76999999999</v>
      </c>
      <c r="E1283" s="4">
        <v>47293.59</v>
      </c>
      <c r="F1283" s="4">
        <v>101747.052</v>
      </c>
    </row>
    <row r="1284" spans="1:6" x14ac:dyDescent="0.2">
      <c r="A1284" s="3" t="s">
        <v>11</v>
      </c>
      <c r="B1284" s="3" t="s">
        <v>19</v>
      </c>
      <c r="C1284" s="3">
        <v>35329.43</v>
      </c>
      <c r="D1284" s="4">
        <v>105988.29</v>
      </c>
      <c r="E1284" s="4">
        <v>35329.43</v>
      </c>
      <c r="F1284" s="4">
        <v>101747.052</v>
      </c>
    </row>
    <row r="1285" spans="1:6" x14ac:dyDescent="0.2">
      <c r="A1285" s="3" t="s">
        <v>12</v>
      </c>
      <c r="B1285" s="3" t="s">
        <v>19</v>
      </c>
      <c r="C1285" s="3">
        <v>50345.14</v>
      </c>
      <c r="D1285" s="4">
        <v>151035.42000000001</v>
      </c>
      <c r="E1285" s="4">
        <v>50345.14</v>
      </c>
      <c r="F1285" s="4">
        <v>101747.052</v>
      </c>
    </row>
    <row r="1286" spans="1:6" x14ac:dyDescent="0.2">
      <c r="A1286" s="3" t="s">
        <v>13</v>
      </c>
      <c r="B1286" s="3" t="s">
        <v>19</v>
      </c>
      <c r="C1286" s="3">
        <v>55175.75</v>
      </c>
      <c r="D1286" s="4">
        <v>165527.25</v>
      </c>
      <c r="E1286" s="4">
        <v>55175.75</v>
      </c>
      <c r="F1286" s="4">
        <v>101747.052</v>
      </c>
    </row>
    <row r="1287" spans="1:6" x14ac:dyDescent="0.2">
      <c r="A1287" s="3" t="s">
        <v>7</v>
      </c>
      <c r="B1287" s="3" t="s">
        <v>8</v>
      </c>
      <c r="C1287" s="3">
        <v>35977.730000000003</v>
      </c>
      <c r="D1287" s="4">
        <v>107933.19</v>
      </c>
      <c r="E1287" s="4">
        <v>35977.730000000003</v>
      </c>
      <c r="F1287" s="4">
        <v>91734.462</v>
      </c>
    </row>
    <row r="1288" spans="1:6" x14ac:dyDescent="0.2">
      <c r="A1288" s="3" t="s">
        <v>9</v>
      </c>
      <c r="B1288" s="3" t="s">
        <v>8</v>
      </c>
      <c r="C1288" s="3">
        <v>44875.38</v>
      </c>
      <c r="D1288" s="4">
        <v>134626.14000000001</v>
      </c>
      <c r="E1288" s="4">
        <v>44875.38</v>
      </c>
      <c r="F1288" s="4">
        <v>91734.462</v>
      </c>
    </row>
    <row r="1289" spans="1:6" x14ac:dyDescent="0.2">
      <c r="A1289" s="3" t="s">
        <v>10</v>
      </c>
      <c r="B1289" s="3" t="s">
        <v>8</v>
      </c>
      <c r="C1289" s="3">
        <v>45733.87</v>
      </c>
      <c r="D1289" s="4">
        <v>137201.60999999999</v>
      </c>
      <c r="E1289" s="4">
        <v>45733.87</v>
      </c>
      <c r="F1289" s="4">
        <v>91734.462</v>
      </c>
    </row>
    <row r="1290" spans="1:6" x14ac:dyDescent="0.2">
      <c r="A1290" s="3" t="s">
        <v>11</v>
      </c>
      <c r="B1290" s="3" t="s">
        <v>8</v>
      </c>
      <c r="C1290" s="3">
        <v>52941.52</v>
      </c>
      <c r="D1290" s="4">
        <v>158824.56</v>
      </c>
      <c r="E1290" s="4">
        <v>52941.52</v>
      </c>
      <c r="F1290" s="4">
        <v>91734.462</v>
      </c>
    </row>
    <row r="1291" spans="1:6" x14ac:dyDescent="0.2">
      <c r="A1291" s="3" t="s">
        <v>12</v>
      </c>
      <c r="B1291" s="3" t="s">
        <v>8</v>
      </c>
      <c r="C1291" s="3">
        <v>61188.6</v>
      </c>
      <c r="D1291" s="4">
        <v>183565.8</v>
      </c>
      <c r="E1291" s="4">
        <v>61188.6</v>
      </c>
      <c r="F1291" s="4">
        <v>91734.462</v>
      </c>
    </row>
    <row r="1292" spans="1:6" x14ac:dyDescent="0.2">
      <c r="A1292" s="3" t="s">
        <v>13</v>
      </c>
      <c r="B1292" s="3" t="s">
        <v>8</v>
      </c>
      <c r="C1292" s="3">
        <v>50681.04</v>
      </c>
      <c r="D1292" s="4">
        <v>152043.12</v>
      </c>
      <c r="E1292" s="4">
        <v>50681.04</v>
      </c>
      <c r="F1292" s="4">
        <v>91734.462</v>
      </c>
    </row>
    <row r="1293" spans="1:6" x14ac:dyDescent="0.2">
      <c r="A1293" s="3" t="s">
        <v>7</v>
      </c>
      <c r="B1293" s="3" t="s">
        <v>21</v>
      </c>
      <c r="C1293" s="3">
        <v>16751.2</v>
      </c>
      <c r="D1293" s="4">
        <v>50253.600000000013</v>
      </c>
      <c r="E1293" s="4">
        <v>16751.2</v>
      </c>
      <c r="F1293" s="4">
        <v>100474.88400000001</v>
      </c>
    </row>
    <row r="1294" spans="1:6" x14ac:dyDescent="0.2">
      <c r="A1294" s="3" t="s">
        <v>9</v>
      </c>
      <c r="B1294" s="3" t="s">
        <v>21</v>
      </c>
      <c r="C1294" s="3">
        <v>12954.72</v>
      </c>
      <c r="D1294" s="4">
        <v>38864.160000000003</v>
      </c>
      <c r="E1294" s="4">
        <v>12954.72</v>
      </c>
      <c r="F1294" s="4">
        <v>100474.88400000001</v>
      </c>
    </row>
    <row r="1295" spans="1:6" x14ac:dyDescent="0.2">
      <c r="A1295" s="3" t="s">
        <v>10</v>
      </c>
      <c r="B1295" s="3" t="s">
        <v>21</v>
      </c>
      <c r="C1295" s="3">
        <v>15266.99</v>
      </c>
      <c r="D1295" s="4">
        <v>45800.97</v>
      </c>
      <c r="E1295" s="4">
        <v>15266.99</v>
      </c>
      <c r="F1295" s="4">
        <v>100474.88400000001</v>
      </c>
    </row>
    <row r="1296" spans="1:6" x14ac:dyDescent="0.2">
      <c r="A1296" s="3" t="s">
        <v>11</v>
      </c>
      <c r="B1296" s="3" t="s">
        <v>21</v>
      </c>
      <c r="C1296" s="3">
        <v>18360.34</v>
      </c>
      <c r="D1296" s="4">
        <v>55081.02</v>
      </c>
      <c r="E1296" s="4">
        <v>18360.34</v>
      </c>
      <c r="F1296" s="4">
        <v>100474.88400000001</v>
      </c>
    </row>
    <row r="1297" spans="1:6" x14ac:dyDescent="0.2">
      <c r="A1297" s="3" t="s">
        <v>12</v>
      </c>
      <c r="B1297" s="3" t="s">
        <v>21</v>
      </c>
      <c r="C1297" s="3">
        <v>20062.599999999999</v>
      </c>
      <c r="D1297" s="4">
        <v>60187.8</v>
      </c>
      <c r="E1297" s="4">
        <v>20062.599999999999</v>
      </c>
      <c r="F1297" s="4">
        <v>100474.88400000001</v>
      </c>
    </row>
    <row r="1298" spans="1:6" x14ac:dyDescent="0.2">
      <c r="A1298" s="3" t="s">
        <v>13</v>
      </c>
      <c r="B1298" s="3" t="s">
        <v>21</v>
      </c>
      <c r="C1298" s="3">
        <v>17716.169999999998</v>
      </c>
      <c r="D1298" s="4">
        <v>53148.509999999987</v>
      </c>
      <c r="E1298" s="4">
        <v>17716.169999999998</v>
      </c>
      <c r="F1298" s="4">
        <v>100474.88400000001</v>
      </c>
    </row>
    <row r="1299" spans="1:6" x14ac:dyDescent="0.2">
      <c r="A1299" s="3" t="s">
        <v>7</v>
      </c>
      <c r="B1299" s="3" t="s">
        <v>20</v>
      </c>
      <c r="C1299" s="3">
        <v>88211.03</v>
      </c>
      <c r="D1299" s="4">
        <v>264633.09000000003</v>
      </c>
      <c r="E1299" s="4">
        <v>88211.03</v>
      </c>
      <c r="F1299" s="4">
        <v>92182.01400000001</v>
      </c>
    </row>
    <row r="1300" spans="1:6" x14ac:dyDescent="0.2">
      <c r="A1300" s="3" t="s">
        <v>9</v>
      </c>
      <c r="B1300" s="3" t="s">
        <v>20</v>
      </c>
      <c r="C1300" s="3">
        <v>93993.11</v>
      </c>
      <c r="D1300" s="4">
        <v>281979.33</v>
      </c>
      <c r="E1300" s="4">
        <v>93993.11</v>
      </c>
      <c r="F1300" s="4">
        <v>92182.01400000001</v>
      </c>
    </row>
    <row r="1301" spans="1:6" x14ac:dyDescent="0.2">
      <c r="A1301" s="3" t="s">
        <v>10</v>
      </c>
      <c r="B1301" s="3" t="s">
        <v>20</v>
      </c>
      <c r="C1301" s="3">
        <v>77327.38</v>
      </c>
      <c r="D1301" s="4">
        <v>231982.14</v>
      </c>
      <c r="E1301" s="4">
        <v>77327.38</v>
      </c>
      <c r="F1301" s="4">
        <v>92182.01400000001</v>
      </c>
    </row>
    <row r="1302" spans="1:6" x14ac:dyDescent="0.2">
      <c r="A1302" s="3" t="s">
        <v>11</v>
      </c>
      <c r="B1302" s="3" t="s">
        <v>20</v>
      </c>
      <c r="C1302" s="3">
        <v>72652.399999999994</v>
      </c>
      <c r="D1302" s="4">
        <v>217957.2</v>
      </c>
      <c r="E1302" s="4">
        <v>72652.399999999994</v>
      </c>
      <c r="F1302" s="4">
        <v>92182.01400000001</v>
      </c>
    </row>
    <row r="1303" spans="1:6" x14ac:dyDescent="0.2">
      <c r="A1303" s="3" t="s">
        <v>12</v>
      </c>
      <c r="B1303" s="3" t="s">
        <v>20</v>
      </c>
      <c r="C1303" s="3">
        <v>85977.65</v>
      </c>
      <c r="D1303" s="4">
        <v>257932.95</v>
      </c>
      <c r="E1303" s="4">
        <v>85977.65</v>
      </c>
      <c r="F1303" s="4">
        <v>92182.01400000001</v>
      </c>
    </row>
    <row r="1304" spans="1:6" x14ac:dyDescent="0.2">
      <c r="A1304" s="3" t="s">
        <v>13</v>
      </c>
      <c r="B1304" s="3" t="s">
        <v>20</v>
      </c>
      <c r="C1304" s="3">
        <v>72901.539999999994</v>
      </c>
      <c r="D1304" s="4">
        <v>218704.62</v>
      </c>
      <c r="E1304" s="4">
        <v>72901.539999999994</v>
      </c>
      <c r="F1304" s="4">
        <v>92182.01400000001</v>
      </c>
    </row>
    <row r="1305" spans="1:6" x14ac:dyDescent="0.2">
      <c r="A1305" s="3" t="s">
        <v>7</v>
      </c>
      <c r="B1305" s="3" t="s">
        <v>14</v>
      </c>
      <c r="C1305" s="3">
        <v>48164.31</v>
      </c>
      <c r="D1305" s="4">
        <v>144492.93</v>
      </c>
      <c r="E1305" s="4">
        <v>48164.31</v>
      </c>
      <c r="F1305" s="4">
        <v>92194.631999999998</v>
      </c>
    </row>
    <row r="1306" spans="1:6" x14ac:dyDescent="0.2">
      <c r="A1306" s="3" t="s">
        <v>9</v>
      </c>
      <c r="B1306" s="3" t="s">
        <v>14</v>
      </c>
      <c r="C1306" s="3">
        <v>44909.15</v>
      </c>
      <c r="D1306" s="4">
        <v>134727.45000000001</v>
      </c>
      <c r="E1306" s="4">
        <v>44909.15</v>
      </c>
      <c r="F1306" s="4">
        <v>92194.631999999998</v>
      </c>
    </row>
    <row r="1307" spans="1:6" x14ac:dyDescent="0.2">
      <c r="A1307" s="3" t="s">
        <v>10</v>
      </c>
      <c r="B1307" s="3" t="s">
        <v>14</v>
      </c>
      <c r="C1307" s="3">
        <v>42191.45</v>
      </c>
      <c r="D1307" s="4">
        <v>126574.35</v>
      </c>
      <c r="E1307" s="4">
        <v>42191.45</v>
      </c>
      <c r="F1307" s="4">
        <v>92194.631999999998</v>
      </c>
    </row>
    <row r="1308" spans="1:6" x14ac:dyDescent="0.2">
      <c r="A1308" s="3" t="s">
        <v>11</v>
      </c>
      <c r="B1308" s="3" t="s">
        <v>14</v>
      </c>
      <c r="C1308" s="3">
        <v>47551.87</v>
      </c>
      <c r="D1308" s="4">
        <v>142655.60999999999</v>
      </c>
      <c r="E1308" s="4">
        <v>47551.87</v>
      </c>
      <c r="F1308" s="4">
        <v>92194.631999999998</v>
      </c>
    </row>
    <row r="1309" spans="1:6" x14ac:dyDescent="0.2">
      <c r="A1309" s="3" t="s">
        <v>12</v>
      </c>
      <c r="B1309" s="3" t="s">
        <v>14</v>
      </c>
      <c r="C1309" s="3">
        <v>36928.9</v>
      </c>
      <c r="D1309" s="4">
        <v>110786.7</v>
      </c>
      <c r="E1309" s="4">
        <v>36928.9</v>
      </c>
      <c r="F1309" s="4">
        <v>92194.631999999998</v>
      </c>
    </row>
    <row r="1310" spans="1:6" x14ac:dyDescent="0.2">
      <c r="A1310" s="3" t="s">
        <v>13</v>
      </c>
      <c r="B1310" s="3" t="s">
        <v>14</v>
      </c>
      <c r="C1310" s="3">
        <v>49521.96</v>
      </c>
      <c r="D1310" s="4">
        <v>148565.88</v>
      </c>
      <c r="E1310" s="4">
        <v>49521.96</v>
      </c>
      <c r="F1310" s="4">
        <v>92194.631999999998</v>
      </c>
    </row>
    <row r="1311" spans="1:6" x14ac:dyDescent="0.2">
      <c r="A1311" s="3" t="s">
        <v>7</v>
      </c>
      <c r="B1311" s="3" t="s">
        <v>18</v>
      </c>
      <c r="C1311" s="3">
        <v>39581.29</v>
      </c>
      <c r="D1311" s="4">
        <v>118743.87</v>
      </c>
      <c r="E1311" s="4">
        <v>39581.29</v>
      </c>
      <c r="F1311" s="4">
        <v>99634.98599999999</v>
      </c>
    </row>
    <row r="1312" spans="1:6" x14ac:dyDescent="0.2">
      <c r="A1312" s="3" t="s">
        <v>9</v>
      </c>
      <c r="B1312" s="3" t="s">
        <v>18</v>
      </c>
      <c r="C1312" s="3">
        <v>40377.57</v>
      </c>
      <c r="D1312" s="4">
        <v>121132.71</v>
      </c>
      <c r="E1312" s="4">
        <v>40377.57</v>
      </c>
      <c r="F1312" s="4">
        <v>99634.98599999999</v>
      </c>
    </row>
    <row r="1313" spans="1:6" x14ac:dyDescent="0.2">
      <c r="A1313" s="3" t="s">
        <v>10</v>
      </c>
      <c r="B1313" s="3" t="s">
        <v>18</v>
      </c>
      <c r="C1313" s="3">
        <v>66372.63</v>
      </c>
      <c r="D1313" s="4">
        <v>199117.89</v>
      </c>
      <c r="E1313" s="4">
        <v>66372.63</v>
      </c>
      <c r="F1313" s="4">
        <v>99634.98599999999</v>
      </c>
    </row>
    <row r="1314" spans="1:6" x14ac:dyDescent="0.2">
      <c r="A1314" s="3" t="s">
        <v>11</v>
      </c>
      <c r="B1314" s="3" t="s">
        <v>18</v>
      </c>
      <c r="C1314" s="3">
        <v>61034.75</v>
      </c>
      <c r="D1314" s="4">
        <v>183104.25</v>
      </c>
      <c r="E1314" s="4">
        <v>61034.75</v>
      </c>
      <c r="F1314" s="4">
        <v>99634.98599999999</v>
      </c>
    </row>
    <row r="1315" spans="1:6" x14ac:dyDescent="0.2">
      <c r="A1315" s="3" t="s">
        <v>12</v>
      </c>
      <c r="B1315" s="3" t="s">
        <v>18</v>
      </c>
      <c r="C1315" s="3">
        <v>53387.33</v>
      </c>
      <c r="D1315" s="4">
        <v>160161.99</v>
      </c>
      <c r="E1315" s="4">
        <v>53387.33</v>
      </c>
      <c r="F1315" s="4">
        <v>99634.98599999999</v>
      </c>
    </row>
    <row r="1316" spans="1:6" x14ac:dyDescent="0.2">
      <c r="A1316" s="3" t="s">
        <v>13</v>
      </c>
      <c r="B1316" s="3" t="s">
        <v>18</v>
      </c>
      <c r="C1316" s="3">
        <v>70577.240000000005</v>
      </c>
      <c r="D1316" s="4">
        <v>211731.72</v>
      </c>
      <c r="E1316" s="4">
        <v>70577.240000000005</v>
      </c>
      <c r="F1316" s="4">
        <v>99634.98599999999</v>
      </c>
    </row>
    <row r="1317" spans="1:6" x14ac:dyDescent="0.2">
      <c r="A1317" s="3" t="s">
        <v>7</v>
      </c>
      <c r="B1317" s="3" t="s">
        <v>8</v>
      </c>
      <c r="C1317" s="3">
        <v>52930.28</v>
      </c>
      <c r="D1317" s="4">
        <v>158790.84</v>
      </c>
      <c r="E1317" s="4">
        <v>52930.28</v>
      </c>
      <c r="F1317" s="4">
        <v>91734.462</v>
      </c>
    </row>
    <row r="1318" spans="1:6" x14ac:dyDescent="0.2">
      <c r="A1318" s="3" t="s">
        <v>9</v>
      </c>
      <c r="B1318" s="3" t="s">
        <v>8</v>
      </c>
      <c r="C1318" s="3">
        <v>60848.72</v>
      </c>
      <c r="D1318" s="4">
        <v>182546.16</v>
      </c>
      <c r="E1318" s="4">
        <v>60848.72</v>
      </c>
      <c r="F1318" s="4">
        <v>91734.462</v>
      </c>
    </row>
    <row r="1319" spans="1:6" x14ac:dyDescent="0.2">
      <c r="A1319" s="3" t="s">
        <v>10</v>
      </c>
      <c r="B1319" s="3" t="s">
        <v>8</v>
      </c>
      <c r="C1319" s="3">
        <v>57069.17</v>
      </c>
      <c r="D1319" s="4">
        <v>171207.51</v>
      </c>
      <c r="E1319" s="4">
        <v>57069.17</v>
      </c>
      <c r="F1319" s="4">
        <v>91734.462</v>
      </c>
    </row>
    <row r="1320" spans="1:6" x14ac:dyDescent="0.2">
      <c r="A1320" s="3" t="s">
        <v>11</v>
      </c>
      <c r="B1320" s="3" t="s">
        <v>8</v>
      </c>
      <c r="C1320" s="3">
        <v>75238.59</v>
      </c>
      <c r="D1320" s="4">
        <v>225715.77</v>
      </c>
      <c r="E1320" s="4">
        <v>75238.59</v>
      </c>
      <c r="F1320" s="4">
        <v>91734.462</v>
      </c>
    </row>
    <row r="1321" spans="1:6" x14ac:dyDescent="0.2">
      <c r="A1321" s="3" t="s">
        <v>12</v>
      </c>
      <c r="B1321" s="3" t="s">
        <v>8</v>
      </c>
      <c r="C1321" s="3">
        <v>81872.98</v>
      </c>
      <c r="D1321" s="4">
        <v>245618.94</v>
      </c>
      <c r="E1321" s="4">
        <v>81872.98</v>
      </c>
      <c r="F1321" s="4">
        <v>91734.462</v>
      </c>
    </row>
    <row r="1322" spans="1:6" x14ac:dyDescent="0.2">
      <c r="A1322" s="3" t="s">
        <v>13</v>
      </c>
      <c r="B1322" s="3" t="s">
        <v>8</v>
      </c>
      <c r="C1322" s="3">
        <v>56130.97</v>
      </c>
      <c r="D1322" s="4">
        <v>168392.91</v>
      </c>
      <c r="E1322" s="4">
        <v>56130.97</v>
      </c>
      <c r="F1322" s="4">
        <v>91734.462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ht="21" x14ac:dyDescent="0.25">
      <c r="A1" s="1" t="s">
        <v>22</v>
      </c>
    </row>
    <row r="3" spans="1:2" x14ac:dyDescent="0.2">
      <c r="A3" t="s">
        <v>2</v>
      </c>
      <c r="B3" s="5" t="s">
        <v>23</v>
      </c>
    </row>
    <row r="4" spans="1:2" x14ac:dyDescent="0.2">
      <c r="A4" t="s">
        <v>1</v>
      </c>
      <c r="B4" s="5" t="s">
        <v>23</v>
      </c>
    </row>
  </sheetData>
  <dataValidations count="2">
    <dataValidation type="list" sqref="B3" xr:uid="{00000000-0002-0000-0100-000000000000}">
      <formula1>"All,Asheville,Charlotte,Durham,Fayetteville,Greensboro,Greenville,Raleigh,Wilmington,Winston-Salem"</formula1>
    </dataValidation>
    <dataValidation type="list" sqref="B4" xr:uid="{00000000-0002-0000-0100-000001000000}">
      <formula1>"All,2025-07,2025-08,2025-09,2025-10,2025-11,2025-12"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baseColWidth="10" defaultColWidth="8.83203125" defaultRowHeight="15" x14ac:dyDescent="0.2"/>
  <cols>
    <col min="2" max="2" width="12.33203125" customWidth="1"/>
    <col min="3" max="3" width="14.83203125" customWidth="1"/>
  </cols>
  <sheetData>
    <row r="1" spans="1:5" ht="21" x14ac:dyDescent="0.25">
      <c r="A1" s="1" t="s">
        <v>24</v>
      </c>
    </row>
    <row r="2" spans="1:5" x14ac:dyDescent="0.2">
      <c r="A2" s="2" t="s">
        <v>2</v>
      </c>
      <c r="B2" s="2" t="s">
        <v>5</v>
      </c>
      <c r="C2" s="2" t="s">
        <v>6</v>
      </c>
      <c r="D2" s="2" t="s">
        <v>25</v>
      </c>
      <c r="E2" s="2" t="s">
        <v>26</v>
      </c>
    </row>
    <row r="3" spans="1:5" x14ac:dyDescent="0.2">
      <c r="A3" s="3" t="s">
        <v>15</v>
      </c>
      <c r="B3" s="4">
        <f>SUMIFS(Raw_Data!$E:$E,Raw_Data!$B:$B,"Asheville")</f>
        <v>8945054.0399999972</v>
      </c>
      <c r="C3" s="4">
        <f>SUMIFS(Raw_Data!$F:$F,Raw_Data!$B:$B,"Asheville")</f>
        <v>14944284.107999997</v>
      </c>
      <c r="D3" s="6">
        <f t="shared" ref="D3:D11" si="0">B3/C3</f>
        <v>0.59856022378559548</v>
      </c>
      <c r="E3" s="3" t="str">
        <f t="shared" ref="E3:E11" si="1">IF(D3&gt;=1,"On Track",IF(D3&gt;=0.9,"At Risk","Off Track"))</f>
        <v>Off Track</v>
      </c>
    </row>
    <row r="4" spans="1:5" x14ac:dyDescent="0.2">
      <c r="A4" s="3" t="s">
        <v>17</v>
      </c>
      <c r="B4" s="4">
        <f>SUMIFS(Raw_Data!$E:$E,Raw_Data!$B:$B,"Charlotte")</f>
        <v>8810668.0300000031</v>
      </c>
      <c r="C4" s="4">
        <f>SUMIFS(Raw_Data!$F:$F,Raw_Data!$B:$B,"Charlotte")</f>
        <v>13566016.404000023</v>
      </c>
      <c r="D4" s="6">
        <f t="shared" si="0"/>
        <v>0.64946611942781696</v>
      </c>
      <c r="E4" s="3" t="str">
        <f t="shared" si="1"/>
        <v>Off Track</v>
      </c>
    </row>
    <row r="5" spans="1:5" x14ac:dyDescent="0.2">
      <c r="A5" s="3" t="s">
        <v>20</v>
      </c>
      <c r="B5" s="4">
        <f>SUMIFS(Raw_Data!$E:$E,Raw_Data!$B:$B,"Durham")</f>
        <v>9879982.9099999983</v>
      </c>
      <c r="C5" s="4">
        <f>SUMIFS(Raw_Data!$F:$F,Raw_Data!$B:$B,"Durham")</f>
        <v>15486578.352000052</v>
      </c>
      <c r="D5" s="6">
        <f t="shared" si="0"/>
        <v>0.63797067921875872</v>
      </c>
      <c r="E5" s="3" t="str">
        <f t="shared" si="1"/>
        <v>Off Track</v>
      </c>
    </row>
    <row r="6" spans="1:5" x14ac:dyDescent="0.2">
      <c r="A6" s="3" t="s">
        <v>21</v>
      </c>
      <c r="B6" s="4">
        <f>SUMIFS(Raw_Data!$E:$E,Raw_Data!$B:$B,"Fayetteville")</f>
        <v>7435669.0799999982</v>
      </c>
      <c r="C6" s="4">
        <f>SUMIFS(Raw_Data!$F:$F,Raw_Data!$B:$B,"Fayetteville")</f>
        <v>12659835.38399997</v>
      </c>
      <c r="D6" s="6">
        <f t="shared" si="0"/>
        <v>0.58734326746440224</v>
      </c>
      <c r="E6" s="3" t="str">
        <f t="shared" si="1"/>
        <v>Off Track</v>
      </c>
    </row>
    <row r="7" spans="1:5" x14ac:dyDescent="0.2">
      <c r="A7" s="3" t="s">
        <v>19</v>
      </c>
      <c r="B7" s="4">
        <f>SUMIFS(Raw_Data!$E:$E,Raw_Data!$B:$B,"Greensboro")</f>
        <v>5810963.3199999984</v>
      </c>
      <c r="C7" s="4">
        <f>SUMIFS(Raw_Data!$F:$F,Raw_Data!$B:$B,"Greensboro")</f>
        <v>10988681.615999987</v>
      </c>
      <c r="D7" s="6">
        <f t="shared" si="0"/>
        <v>0.52881351221778861</v>
      </c>
      <c r="E7" s="3" t="str">
        <f t="shared" si="1"/>
        <v>Off Track</v>
      </c>
    </row>
    <row r="8" spans="1:5" x14ac:dyDescent="0.2">
      <c r="A8" s="3" t="s">
        <v>18</v>
      </c>
      <c r="B8" s="4">
        <f>SUMIFS(Raw_Data!$E:$E,Raw_Data!$B:$B,"Greenville")</f>
        <v>9622929.5000000019</v>
      </c>
      <c r="C8" s="4">
        <f>SUMIFS(Raw_Data!$F:$F,Raw_Data!$B:$B,"Greenville")</f>
        <v>16738677.647999948</v>
      </c>
      <c r="D8" s="6">
        <f t="shared" si="0"/>
        <v>0.57489185838702228</v>
      </c>
      <c r="E8" s="3" t="str">
        <f t="shared" si="1"/>
        <v>Off Track</v>
      </c>
    </row>
    <row r="9" spans="1:5" x14ac:dyDescent="0.2">
      <c r="A9" s="3" t="s">
        <v>8</v>
      </c>
      <c r="B9" s="4">
        <f>SUMIFS(Raw_Data!$E:$E,Raw_Data!$B:$B,"Raleigh")</f>
        <v>8635125.5800000038</v>
      </c>
      <c r="C9" s="4">
        <f>SUMIFS(Raw_Data!$F:$F,Raw_Data!$B:$B,"Raleigh")</f>
        <v>15411389.615999961</v>
      </c>
      <c r="D9" s="6">
        <f t="shared" si="0"/>
        <v>0.5603080445799058</v>
      </c>
      <c r="E9" s="3" t="str">
        <f t="shared" si="1"/>
        <v>Off Track</v>
      </c>
    </row>
    <row r="10" spans="1:5" x14ac:dyDescent="0.2">
      <c r="A10" s="3" t="s">
        <v>16</v>
      </c>
      <c r="B10" s="4">
        <f>SUMIFS(Raw_Data!$E:$E,Raw_Data!$B:$B,"Wilmington")</f>
        <v>9844884.3900000043</v>
      </c>
      <c r="C10" s="4">
        <f>SUMIFS(Raw_Data!$F:$F,Raw_Data!$B:$B,"Wilmington")</f>
        <v>16408950.461999932</v>
      </c>
      <c r="D10" s="6">
        <f t="shared" si="0"/>
        <v>0.59997038889226462</v>
      </c>
      <c r="E10" s="3" t="str">
        <f t="shared" si="1"/>
        <v>Off Track</v>
      </c>
    </row>
    <row r="11" spans="1:5" x14ac:dyDescent="0.2">
      <c r="A11" s="3" t="s">
        <v>14</v>
      </c>
      <c r="B11" s="4">
        <f>SUMIFS(Raw_Data!$E:$E,Raw_Data!$B:$B,"Winston-Salem")</f>
        <v>5161494.6899999995</v>
      </c>
      <c r="C11" s="4">
        <f>SUMIFS(Raw_Data!$F:$F,Raw_Data!$B:$B,"Winston-Salem")</f>
        <v>8297516.8800000139</v>
      </c>
      <c r="D11" s="6">
        <f t="shared" si="0"/>
        <v>0.62205293037017495</v>
      </c>
      <c r="E11" s="3" t="str">
        <f t="shared" si="1"/>
        <v>Off Track</v>
      </c>
    </row>
  </sheetData>
  <conditionalFormatting sqref="E3:E11">
    <cfRule type="cellIs" dxfId="2" priority="1" operator="equal">
      <formula>"On Track"</formula>
    </cfRule>
    <cfRule type="cellIs" dxfId="1" priority="2" operator="equal">
      <formula>"At Risk"</formula>
    </cfRule>
    <cfRule type="cellIs" dxfId="0" priority="3" operator="equal">
      <formula>"Off Track"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2" width="15.6640625" customWidth="1"/>
  </cols>
  <sheetData>
    <row r="1" spans="1:2" ht="21" x14ac:dyDescent="0.25">
      <c r="A1" s="1" t="s">
        <v>27</v>
      </c>
    </row>
    <row r="3" spans="1:2" x14ac:dyDescent="0.2">
      <c r="A3" t="s">
        <v>28</v>
      </c>
      <c r="B3" s="7">
        <f>SUM(KPI_Engine!B3:B100)</f>
        <v>74146771.540000007</v>
      </c>
    </row>
    <row r="4" spans="1:2" x14ac:dyDescent="0.2">
      <c r="A4" t="s">
        <v>29</v>
      </c>
      <c r="B4" s="7">
        <f>SUM(KPI_Engine!C3:C100)</f>
        <v>124501930.46999988</v>
      </c>
    </row>
    <row r="5" spans="1:2" x14ac:dyDescent="0.2">
      <c r="A5" t="s">
        <v>25</v>
      </c>
      <c r="B5" s="8">
        <f>B3/B4</f>
        <v>0.59554716348648495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Control_Panel</vt:lpstr>
      <vt:lpstr>KPI_Engine</vt:lpstr>
      <vt:lpstr>Executive_Dashboard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2026-02-23T18:50:49Z</dcterms:created>
  <dcterms:modified xsi:type="dcterms:W3CDTF">2026-02-23T18:51:58Z</dcterms:modified>
</cp:coreProperties>
</file>