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Panel" sheetId="1" state="visible" r:id="rId1"/>
    <sheet xmlns:r="http://schemas.openxmlformats.org/officeDocument/2006/relationships" name="Executive_Dashboard" sheetId="2" state="visible" r:id="rId2"/>
    <sheet xmlns:r="http://schemas.openxmlformats.org/officeDocument/2006/relationships" name="Channel_Drilldown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Executive_Dec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  <font>
      <i val="1"/>
      <color rgb="00666666"/>
      <sz val="9"/>
    </font>
    <font>
      <b val="1"/>
      <color rgb="001F4E78"/>
      <sz val="12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165" fontId="0" fillId="2" borderId="1" pivotButton="0" quotePrefix="0" xfId="0"/>
    <xf numFmtId="0" fontId="5" fillId="0" borderId="0" pivotButton="0" quotePrefix="0" xfId="0"/>
    <xf numFmtId="166" fontId="0" fillId="2" borderId="1" pivotButton="0" quotePrefix="0" xfId="0"/>
    <xf numFmtId="2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0" fontId="6" fillId="4" borderId="1" applyAlignment="1" pivotButton="0" quotePrefix="0" xfId="0">
      <alignment horizontal="left" vertical="top" wrapText="1"/>
    </xf>
    <xf numFmtId="164" fontId="7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left" vertical="center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7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'Channel_Drilldown'!D2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'Channel_Drilldown'!$A$3:$A$6</f>
            </numRef>
          </cat>
          <val>
            <numRef>
              <f>'Channel_Drilldown'!$D$3:$D$6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'Forecast'!$A$3:$A$14</f>
            </numRef>
          </cat>
          <val>
            <numRef>
              <f>'Forecast'!$C$3:$C$14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nnelTable" displayName="ChannelTable" ref="A2:G6" headerRowCount="1">
  <autoFilter ref="A2:G6"/>
  <tableColumns count="7">
    <tableColumn id="1" name="Channel"/>
    <tableColumn id="2" name="Spend"/>
    <tableColumn id="3" name="Revenue"/>
    <tableColumn id="4" name="ROAS"/>
    <tableColumn id="5" name="Target ROAS"/>
    <tableColumn id="6" name="Variance"/>
    <tableColumn id="7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" customWidth="1" min="3" max="3"/>
    <col width="22" customWidth="1" min="4" max="4"/>
    <col width="18" customWidth="1" min="5" max="5"/>
    <col width="12" customWidth="1" min="6" max="6"/>
    <col width="12" customWidth="1" min="7" max="7"/>
    <col width="2" customWidth="1" min="8" max="8"/>
  </cols>
  <sheetData>
    <row r="1">
      <c r="A1" s="1" t="inlineStr">
        <is>
          <t>Marketing Performance ROI – Control Panel</t>
        </is>
      </c>
    </row>
    <row r="3">
      <c r="A3" s="2" t="inlineStr">
        <is>
          <t>Scenario</t>
        </is>
      </c>
      <c r="B3" s="3" t="inlineStr">
        <is>
          <t>Base</t>
        </is>
      </c>
      <c r="D3" s="4" t="inlineStr">
        <is>
          <t>Scenario Library</t>
        </is>
      </c>
    </row>
    <row r="4">
      <c r="A4" t="inlineStr"/>
    </row>
    <row r="5">
      <c r="A5" s="4" t="inlineStr">
        <is>
          <t>Global Inputs</t>
        </is>
      </c>
      <c r="D5" s="5" t="inlineStr">
        <is>
          <t>Scenario</t>
        </is>
      </c>
      <c r="E5" s="5" t="inlineStr">
        <is>
          <t>Spend Mult</t>
        </is>
      </c>
      <c r="F5" s="5" t="inlineStr">
        <is>
          <t>Conv Mult</t>
        </is>
      </c>
      <c r="G5" s="5" t="inlineStr">
        <is>
          <t>AOV Mult</t>
        </is>
      </c>
    </row>
    <row r="6">
      <c r="A6" s="6" t="inlineStr">
        <is>
          <t>Base Monthly Spend ($)</t>
        </is>
      </c>
      <c r="B6" s="7" t="n">
        <v>40000</v>
      </c>
      <c r="D6" s="8" t="inlineStr">
        <is>
          <t>Base</t>
        </is>
      </c>
      <c r="E6" s="9" t="n">
        <v>1</v>
      </c>
      <c r="F6" s="9" t="n">
        <v>1</v>
      </c>
      <c r="G6" s="9" t="n">
        <v>1</v>
      </c>
    </row>
    <row r="7">
      <c r="A7" s="6" t="inlineStr">
        <is>
          <t>Base Conversion Rate</t>
        </is>
      </c>
      <c r="B7" s="10" t="n">
        <v>0.04</v>
      </c>
      <c r="D7" s="8" t="inlineStr">
        <is>
          <t>Aggressive</t>
        </is>
      </c>
      <c r="E7" s="9" t="n">
        <v>1.2</v>
      </c>
      <c r="F7" s="9" t="n">
        <v>1.1</v>
      </c>
      <c r="G7" s="9" t="n">
        <v>1.02</v>
      </c>
    </row>
    <row r="8">
      <c r="A8" s="6" t="inlineStr">
        <is>
          <t>Base AOV ($)</t>
        </is>
      </c>
      <c r="B8" s="7" t="n">
        <v>80</v>
      </c>
      <c r="D8" s="8" t="inlineStr">
        <is>
          <t>Conservative</t>
        </is>
      </c>
      <c r="E8" s="9" t="n">
        <v>0.85</v>
      </c>
      <c r="F8" s="9" t="n">
        <v>0.92</v>
      </c>
      <c r="G8" s="9" t="n">
        <v>0.98</v>
      </c>
    </row>
    <row r="9">
      <c r="A9" s="6" t="inlineStr">
        <is>
          <t>Gross Margin %</t>
        </is>
      </c>
      <c r="B9" s="10" t="n">
        <v>0.35</v>
      </c>
      <c r="D9" s="11" t="inlineStr">
        <is>
          <t>(Used by dropdown &amp; lookups)</t>
        </is>
      </c>
    </row>
    <row r="10">
      <c r="A10" s="6" t="inlineStr">
        <is>
          <t>Target ROAS</t>
        </is>
      </c>
      <c r="B10" s="3" t="n">
        <v>3.5</v>
      </c>
    </row>
    <row r="11">
      <c r="A11" s="6" t="inlineStr">
        <is>
          <t>CAC Target ($)</t>
        </is>
      </c>
      <c r="B11" s="7" t="n">
        <v>25</v>
      </c>
    </row>
    <row r="12">
      <c r="A12" s="6" t="inlineStr">
        <is>
          <t>Base ROAS</t>
        </is>
      </c>
      <c r="B12" s="12" t="n">
        <v>3.6</v>
      </c>
    </row>
    <row r="13">
      <c r="A13" s="4" t="inlineStr">
        <is>
          <t>Scenario Multipliers (auto)</t>
        </is>
      </c>
      <c r="D13" s="4" t="inlineStr">
        <is>
          <t>Effective Scenario Inputs (auto)</t>
        </is>
      </c>
    </row>
    <row r="14">
      <c r="A14" s="6" t="inlineStr">
        <is>
          <t>Spend Mult</t>
        </is>
      </c>
      <c r="B14" s="13">
        <f>INDEX($E$6:$E$8, MATCH($B$3, $D$6:$D$8, 0))</f>
        <v/>
      </c>
      <c r="D14" s="6" t="inlineStr">
        <is>
          <t>Effective Spend ($)</t>
        </is>
      </c>
      <c r="E14" s="14">
        <f>B6*B14</f>
        <v/>
      </c>
    </row>
    <row r="15">
      <c r="A15" s="6" t="inlineStr">
        <is>
          <t>Conv Mult</t>
        </is>
      </c>
      <c r="B15" s="13">
        <f>INDEX($F$6:$F$8, MATCH($B$3, $D$6:$D$8, 0))</f>
        <v/>
      </c>
      <c r="D15" s="6" t="inlineStr">
        <is>
          <t>Effective Conv Rate</t>
        </is>
      </c>
      <c r="E15" s="15">
        <f>B7*B15</f>
        <v/>
      </c>
    </row>
    <row r="16">
      <c r="A16" s="6" t="inlineStr">
        <is>
          <t>AOV Mult</t>
        </is>
      </c>
      <c r="B16" s="13">
        <f>INDEX($G$6:$G$8, MATCH($B$3, $D$6:$D$8, 0))</f>
        <v/>
      </c>
      <c r="D16" s="6" t="inlineStr">
        <is>
          <t>Effective AOV ($)</t>
        </is>
      </c>
      <c r="E16" s="14">
        <f>B8*B16</f>
        <v/>
      </c>
    </row>
    <row r="17">
      <c r="D17" s="6" t="inlineStr">
        <is>
          <t>Effective ROAS (auto)</t>
        </is>
      </c>
      <c r="E17" s="16">
        <f>B12*(1+(B15-1)*0.6)</f>
        <v/>
      </c>
    </row>
  </sheetData>
  <mergeCells count="1">
    <mergeCell ref="A1:H1"/>
  </mergeCells>
  <dataValidations count="1">
    <dataValidation sqref="B3" showDropDown="0" showInputMessage="0" showErrorMessage="0" allowBlank="0" type="list">
      <formula1>=$D$6:$D$8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Marketing ROI Executive Dashboard</t>
        </is>
      </c>
    </row>
    <row r="3">
      <c r="A3" s="2" t="inlineStr">
        <is>
          <t>Selected Scenario:</t>
        </is>
      </c>
      <c r="B3" s="17">
        <f>Control_Panel!B3</f>
        <v/>
      </c>
    </row>
    <row r="5">
      <c r="A5" s="18" t="inlineStr">
        <is>
          <t xml:space="preserve">Spend
</t>
        </is>
      </c>
      <c r="B5" s="8" t="n"/>
      <c r="C5" s="8" t="n"/>
      <c r="E5" s="18" t="inlineStr">
        <is>
          <t xml:space="preserve">Revenue
</t>
        </is>
      </c>
      <c r="F5" s="8" t="n"/>
      <c r="G5" s="8" t="n"/>
    </row>
    <row r="6">
      <c r="A6" s="19">
        <f>Control_Panel!E14</f>
        <v/>
      </c>
      <c r="E6" s="19">
        <f>Control_Panel!E14*Control_Panel!E17</f>
        <v/>
      </c>
    </row>
    <row r="9">
      <c r="A9" s="18" t="inlineStr">
        <is>
          <t xml:space="preserve">ROAS
</t>
        </is>
      </c>
      <c r="B9" s="8" t="n"/>
      <c r="C9" s="8" t="n"/>
      <c r="E9" s="18" t="inlineStr">
        <is>
          <t xml:space="preserve">Net Profit
</t>
        </is>
      </c>
      <c r="F9" s="8" t="n"/>
      <c r="G9" s="8" t="n"/>
    </row>
    <row r="10">
      <c r="A10" s="20">
        <f>Control_Panel!E17</f>
        <v/>
      </c>
      <c r="E10" s="19">
        <f>(Control_Panel!E14*Control_Panel!E17*Control_Panel!B9)-Control_Panel!E14</f>
        <v/>
      </c>
    </row>
    <row r="14">
      <c r="A14" s="4" t="inlineStr">
        <is>
          <t>KPI Status</t>
        </is>
      </c>
    </row>
    <row r="15">
      <c r="A15" s="5" t="inlineStr">
        <is>
          <t>Metric</t>
        </is>
      </c>
      <c r="B15" s="5" t="inlineStr">
        <is>
          <t>Actual</t>
        </is>
      </c>
      <c r="C15" s="5" t="inlineStr">
        <is>
          <t>Target</t>
        </is>
      </c>
      <c r="D15" s="5" t="inlineStr">
        <is>
          <t>Variance</t>
        </is>
      </c>
      <c r="E15" s="5" t="inlineStr">
        <is>
          <t>Status</t>
        </is>
      </c>
    </row>
    <row r="16">
      <c r="A16" s="8" t="inlineStr">
        <is>
          <t>ROAS</t>
        </is>
      </c>
      <c r="B16" s="21">
        <f>Control_Panel!E17</f>
        <v/>
      </c>
      <c r="C16" s="21">
        <f>Control_Panel!B10</f>
        <v/>
      </c>
      <c r="D16" s="21">
        <f>B16-C16</f>
        <v/>
      </c>
      <c r="E16" s="22">
        <f>IF(B16&gt;=C16,"On Track","Below Target")</f>
        <v/>
      </c>
    </row>
    <row r="17">
      <c r="A17" s="8" t="inlineStr">
        <is>
          <t>Net Profit</t>
        </is>
      </c>
      <c r="B17" s="23">
        <f>(Control_Panel!E14*Control_Panel!E17*Control_Panel!B9)-Control_Panel!E14</f>
        <v/>
      </c>
      <c r="C17" s="23" t="n">
        <v>0</v>
      </c>
      <c r="D17" s="23">
        <f>B17-C17</f>
        <v/>
      </c>
      <c r="E17" s="22">
        <f>IF(B17&gt;=C17,"On Track","Below Target")</f>
        <v/>
      </c>
    </row>
  </sheetData>
  <mergeCells count="5">
    <mergeCell ref="A5:C5"/>
    <mergeCell ref="E5:G5"/>
    <mergeCell ref="A9:C9"/>
    <mergeCell ref="E9:G9"/>
    <mergeCell ref="A1:H1"/>
  </mergeCells>
  <conditionalFormatting sqref="E16:E17">
    <cfRule type="cellIs" priority="1" operator="equal" dxfId="0">
      <formula>"On Track"</formula>
    </cfRule>
    <cfRule type="cellIs" priority="2" operator="equal" dxfId="1">
      <formula>"Below Target"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2" customWidth="1" min="8" max="8"/>
    <col width="18" customWidth="1" min="9" max="9"/>
  </cols>
  <sheetData>
    <row r="1">
      <c r="A1" s="1" t="inlineStr">
        <is>
          <t>Channel Performance Drilldown</t>
        </is>
      </c>
    </row>
    <row r="2">
      <c r="A2" s="5" t="inlineStr">
        <is>
          <t>Channel</t>
        </is>
      </c>
      <c r="B2" s="5" t="inlineStr">
        <is>
          <t>Spend</t>
        </is>
      </c>
      <c r="C2" s="5" t="inlineStr">
        <is>
          <t>Revenue</t>
        </is>
      </c>
      <c r="D2" s="5" t="inlineStr">
        <is>
          <t>ROAS</t>
        </is>
      </c>
      <c r="E2" s="5" t="inlineStr">
        <is>
          <t>Target ROAS</t>
        </is>
      </c>
      <c r="F2" s="5" t="inlineStr">
        <is>
          <t>Variance</t>
        </is>
      </c>
      <c r="G2" s="5" t="inlineStr">
        <is>
          <t>Status</t>
        </is>
      </c>
    </row>
    <row r="3">
      <c r="A3" s="8" t="inlineStr">
        <is>
          <t>Google Ads</t>
        </is>
      </c>
      <c r="B3" s="23" t="n">
        <v>22000</v>
      </c>
      <c r="C3" s="23" t="n">
        <v>82000</v>
      </c>
      <c r="D3" s="21">
        <f>C3/B3</f>
        <v/>
      </c>
      <c r="E3" s="21" t="n">
        <v>3.5</v>
      </c>
      <c r="F3" s="21">
        <f>D3-E3</f>
        <v/>
      </c>
      <c r="G3" s="8">
        <f>IF(D3&gt;=E3,"Above Target","Below Target")</f>
        <v/>
      </c>
    </row>
    <row r="4">
      <c r="A4" s="8" t="inlineStr">
        <is>
          <t>Facebook Ads</t>
        </is>
      </c>
      <c r="B4" s="23" t="n">
        <v>15000</v>
      </c>
      <c r="C4" s="23" t="n">
        <v>42000</v>
      </c>
      <c r="D4" s="21">
        <f>C4/B4</f>
        <v/>
      </c>
      <c r="E4" s="21" t="n">
        <v>3</v>
      </c>
      <c r="F4" s="21">
        <f>D4-E4</f>
        <v/>
      </c>
      <c r="G4" s="8">
        <f>IF(D4&gt;=E4,"Above Target","Below Target")</f>
        <v/>
      </c>
    </row>
    <row r="5">
      <c r="A5" s="8" t="inlineStr">
        <is>
          <t>TikTok Ads</t>
        </is>
      </c>
      <c r="B5" s="23" t="n">
        <v>8000</v>
      </c>
      <c r="C5" s="23" t="n">
        <v>22000</v>
      </c>
      <c r="D5" s="21">
        <f>C5/B5</f>
        <v/>
      </c>
      <c r="E5" s="21" t="n">
        <v>2.8</v>
      </c>
      <c r="F5" s="21">
        <f>D5-E5</f>
        <v/>
      </c>
      <c r="G5" s="8">
        <f>IF(D5&gt;=E5,"Above Target","Below Target")</f>
        <v/>
      </c>
    </row>
    <row r="6">
      <c r="A6" s="8" t="inlineStr">
        <is>
          <t>Email</t>
        </is>
      </c>
      <c r="B6" s="23" t="n">
        <v>4000</v>
      </c>
      <c r="C6" s="23" t="n">
        <v>21000</v>
      </c>
      <c r="D6" s="21">
        <f>C6/B6</f>
        <v/>
      </c>
      <c r="E6" s="21" t="n">
        <v>4</v>
      </c>
      <c r="F6" s="21">
        <f>D6-E6</f>
        <v/>
      </c>
      <c r="G6" s="8">
        <f>IF(D6&gt;=E6,"Above Target","Below Target")</f>
        <v/>
      </c>
    </row>
  </sheetData>
  <mergeCells count="1">
    <mergeCell ref="A1:H1"/>
  </mergeCells>
  <conditionalFormatting sqref="G3:G6">
    <cfRule type="cellIs" priority="1" operator="equal" dxfId="0">
      <formula>"Above Target"</formula>
    </cfRule>
    <cfRule type="cellIs" priority="2" operator="equal" dxfId="1">
      <formula>"Below Target"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" customWidth="1" min="4" max="4"/>
    <col width="18" customWidth="1" min="5" max="5"/>
  </cols>
  <sheetData>
    <row r="1">
      <c r="A1" s="1" t="inlineStr">
        <is>
          <t>Revenue Forecast (Monthly)</t>
        </is>
      </c>
    </row>
    <row r="2">
      <c r="A2" s="5" t="inlineStr">
        <is>
          <t>Month</t>
        </is>
      </c>
      <c r="B2" s="5" t="inlineStr">
        <is>
          <t>Spend</t>
        </is>
      </c>
      <c r="C2" s="5" t="inlineStr">
        <is>
          <t>Revenue</t>
        </is>
      </c>
    </row>
    <row r="3">
      <c r="A3" s="8" t="inlineStr">
        <is>
          <t>Jan</t>
        </is>
      </c>
      <c r="B3" s="23" t="n">
        <v>30000</v>
      </c>
      <c r="C3" s="23" t="n">
        <v>102000</v>
      </c>
    </row>
    <row r="4">
      <c r="A4" s="8" t="inlineStr">
        <is>
          <t>Feb</t>
        </is>
      </c>
      <c r="B4" s="23" t="n">
        <v>32000</v>
      </c>
      <c r="C4" s="23" t="n">
        <v>108800</v>
      </c>
    </row>
    <row r="5">
      <c r="A5" s="8" t="inlineStr">
        <is>
          <t>Mar</t>
        </is>
      </c>
      <c r="B5" s="23" t="n">
        <v>34000</v>
      </c>
      <c r="C5" s="23" t="n">
        <v>115600</v>
      </c>
    </row>
    <row r="6">
      <c r="A6" s="8" t="inlineStr">
        <is>
          <t>Apr</t>
        </is>
      </c>
      <c r="B6" s="23" t="n">
        <v>36000</v>
      </c>
      <c r="C6" s="23" t="n">
        <v>122400</v>
      </c>
    </row>
    <row r="7">
      <c r="A7" s="8" t="inlineStr">
        <is>
          <t>May</t>
        </is>
      </c>
      <c r="B7" s="23" t="n">
        <v>38000</v>
      </c>
      <c r="C7" s="23" t="n">
        <v>129200</v>
      </c>
    </row>
    <row r="8">
      <c r="A8" s="8" t="inlineStr">
        <is>
          <t>Jun</t>
        </is>
      </c>
      <c r="B8" s="23" t="n">
        <v>40000</v>
      </c>
      <c r="C8" s="23" t="n">
        <v>136000</v>
      </c>
    </row>
    <row r="9">
      <c r="A9" s="8" t="inlineStr">
        <is>
          <t>Jul</t>
        </is>
      </c>
      <c r="B9" s="23" t="n">
        <v>42000</v>
      </c>
      <c r="C9" s="23" t="n">
        <v>142800</v>
      </c>
    </row>
    <row r="10">
      <c r="A10" s="8" t="inlineStr">
        <is>
          <t>Aug</t>
        </is>
      </c>
      <c r="B10" s="23" t="n">
        <v>41000</v>
      </c>
      <c r="C10" s="23" t="n">
        <v>139400</v>
      </c>
    </row>
    <row r="11">
      <c r="A11" s="8" t="inlineStr">
        <is>
          <t>Sep</t>
        </is>
      </c>
      <c r="B11" s="23" t="n">
        <v>39000</v>
      </c>
      <c r="C11" s="23" t="n">
        <v>132600</v>
      </c>
    </row>
    <row r="12">
      <c r="A12" s="8" t="inlineStr">
        <is>
          <t>Oct</t>
        </is>
      </c>
      <c r="B12" s="23" t="n">
        <v>37000</v>
      </c>
      <c r="C12" s="23" t="n">
        <v>125800</v>
      </c>
    </row>
    <row r="13">
      <c r="A13" s="8" t="inlineStr">
        <is>
          <t>Nov</t>
        </is>
      </c>
      <c r="B13" s="23" t="n">
        <v>35000</v>
      </c>
      <c r="C13" s="23" t="n">
        <v>119000</v>
      </c>
    </row>
    <row r="14">
      <c r="A14" s="8" t="inlineStr">
        <is>
          <t>Dec</t>
        </is>
      </c>
      <c r="B14" s="23" t="n">
        <v>33000</v>
      </c>
      <c r="C14" s="23" t="n">
        <v>112200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Sensitivity Analysis (Conversion Rate vs Net Profit)</t>
        </is>
      </c>
    </row>
    <row r="2">
      <c r="A2" s="5" t="inlineStr">
        <is>
          <t>Conversion Rate</t>
        </is>
      </c>
      <c r="B2" s="5" t="inlineStr">
        <is>
          <t>Net Profit (auto)</t>
        </is>
      </c>
    </row>
    <row r="3">
      <c r="A3" s="24" t="n">
        <v>0.03</v>
      </c>
      <c r="B3" s="23">
        <f>(Control_Panel!E14*(Control_Panel!B12*(1+((A3/Control_Panel!B7)-1)*0.6))*Control_Panel!B9)-Control_Panel!E14</f>
        <v/>
      </c>
    </row>
    <row r="4">
      <c r="A4" s="24" t="n">
        <v>0.035</v>
      </c>
      <c r="B4" s="23">
        <f>(Control_Panel!E14*(Control_Panel!B12*(1+((A4/Control_Panel!B7)-1)*0.6))*Control_Panel!B9)-Control_Panel!E14</f>
        <v/>
      </c>
    </row>
    <row r="5">
      <c r="A5" s="24" t="n">
        <v>0.04</v>
      </c>
      <c r="B5" s="23">
        <f>(Control_Panel!E14*(Control_Panel!B12*(1+((A5/Control_Panel!B7)-1)*0.6))*Control_Panel!B9)-Control_Panel!E14</f>
        <v/>
      </c>
    </row>
    <row r="6">
      <c r="A6" s="24" t="n">
        <v>0.045</v>
      </c>
      <c r="B6" s="23">
        <f>(Control_Panel!E14*(Control_Panel!B12*(1+((A6/Control_Panel!B7)-1)*0.6))*Control_Panel!B9)-Control_Panel!E14</f>
        <v/>
      </c>
    </row>
    <row r="7">
      <c r="A7" s="24" t="n">
        <v>0.05</v>
      </c>
      <c r="B7" s="23">
        <f>(Control_Panel!E14*(Control_Panel!B12*(1+((A7/Control_Panel!B7)-1)*0.6))*Control_Panel!B9)-Control_Panel!E14</f>
        <v/>
      </c>
    </row>
    <row r="8">
      <c r="A8" s="24" t="n">
        <v>0.055</v>
      </c>
      <c r="B8" s="23">
        <f>(Control_Panel!E14*(Control_Panel!B12*(1+((A8/Control_Panel!B7)-1)*0.6))*Control_Panel!B9)-Control_Panel!E14</f>
        <v/>
      </c>
    </row>
  </sheetData>
  <mergeCells count="1">
    <mergeCell ref="A1:F1"/>
  </mergeCells>
  <conditionalFormatting sqref="B3:B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Executive Decision Summary</t>
        </is>
      </c>
    </row>
    <row r="3">
      <c r="A3" s="4" t="inlineStr">
        <is>
          <t>Recommended Scenario</t>
        </is>
      </c>
      <c r="C3" s="4" t="inlineStr">
        <is>
          <t>Why this works</t>
        </is>
      </c>
    </row>
    <row r="4">
      <c r="A4" s="25">
        <f>Control_Panel!B3</f>
        <v/>
      </c>
      <c r="C4" s="26" t="inlineStr">
        <is>
          <t>Meets ROAS target, maximizes profit, and supports scalable growth.</t>
        </is>
      </c>
      <c r="D4" s="8" t="n"/>
      <c r="E4" s="8" t="n"/>
      <c r="F4" s="8" t="n"/>
      <c r="G4" s="8" t="n"/>
      <c r="H4" s="8" t="n"/>
    </row>
    <row r="5">
      <c r="C5" s="8" t="n"/>
      <c r="D5" s="8" t="n"/>
      <c r="E5" s="8" t="n"/>
      <c r="F5" s="8" t="n"/>
      <c r="G5" s="8" t="n"/>
      <c r="H5" s="8" t="n"/>
    </row>
    <row r="6">
      <c r="C6" s="8" t="n"/>
      <c r="D6" s="8" t="n"/>
      <c r="E6" s="8" t="n"/>
      <c r="F6" s="8" t="n"/>
      <c r="G6" s="8" t="n"/>
      <c r="H6" s="8" t="n"/>
    </row>
    <row r="7">
      <c r="A7" s="4" t="inlineStr">
        <is>
          <t>Key Numbers</t>
        </is>
      </c>
    </row>
    <row r="8">
      <c r="A8" s="5" t="inlineStr">
        <is>
          <t>Metric</t>
        </is>
      </c>
      <c r="B8" s="5" t="inlineStr">
        <is>
          <t>Value</t>
        </is>
      </c>
    </row>
    <row r="9">
      <c r="A9" s="8" t="inlineStr">
        <is>
          <t>Spend</t>
        </is>
      </c>
      <c r="B9" s="14">
        <f>Control_Panel!E14</f>
        <v/>
      </c>
    </row>
    <row r="10">
      <c r="A10" s="8" t="inlineStr">
        <is>
          <t>Revenue</t>
        </is>
      </c>
      <c r="B10" s="14">
        <f>Control_Panel!E14*Control_Panel!E17</f>
        <v/>
      </c>
    </row>
    <row r="11">
      <c r="A11" s="8" t="inlineStr">
        <is>
          <t>ROAS</t>
        </is>
      </c>
      <c r="B11" s="16">
        <f>Control_Panel!E17</f>
        <v/>
      </c>
    </row>
    <row r="12">
      <c r="A12" s="8" t="inlineStr">
        <is>
          <t>Net Profit</t>
        </is>
      </c>
      <c r="B12" s="14">
        <f>(Control_Panel!E14*Control_Panel!E17*Control_Panel!B9)-Control_Panel!E14</f>
        <v/>
      </c>
    </row>
  </sheetData>
  <mergeCells count="2">
    <mergeCell ref="C4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2026-02-23T18:14:17Z</dcterms:created>
  <dcterms:modified xmlns:dcterms="http://purl.org/dc/terms/" xmlns:xsi="http://www.w3.org/2001/XMLSchema-instance" xsi:type="dcterms:W3CDTF">2026-02-23T18:14:17Z</dcterms:modified>
</cp:coreProperties>
</file>