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8_{1E67CE15-7FEB-CF4D-BCB0-8DAD24C4F751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Defect_Log" sheetId="1" r:id="rId1"/>
    <sheet name="UAT_Summary" sheetId="2" r:id="rId2"/>
    <sheet name="Sign_O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3" i="3"/>
  <c r="B2" i="3"/>
  <c r="B17" i="2"/>
  <c r="B23" i="2" s="1"/>
  <c r="B16" i="2"/>
  <c r="B15" i="2"/>
  <c r="B14" i="2"/>
  <c r="E13" i="2"/>
  <c r="B13" i="2"/>
  <c r="E12" i="2"/>
  <c r="B12" i="2"/>
  <c r="E11" i="2"/>
  <c r="B22" i="2" s="1"/>
  <c r="B11" i="2"/>
  <c r="E10" i="2"/>
  <c r="B21" i="2" s="1"/>
  <c r="B10" i="2"/>
  <c r="B24" i="2" l="1"/>
  <c r="D3" i="3" s="1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Severity scale: Critical = showstopper / no sign-off; High = major business impact; Medium = workaround exists; Low = minor issue.</t>
        </r>
      </text>
    </commen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Suggested workflow: Open → In Progress → Ready for Retest → In Retest → Closed. Use Deferred or Blocked where appropriate.</t>
        </r>
      </text>
    </comment>
  </commentList>
</comments>
</file>

<file path=xl/sharedStrings.xml><?xml version="1.0" encoding="utf-8"?>
<sst xmlns="http://schemas.openxmlformats.org/spreadsheetml/2006/main" count="124" uniqueCount="105">
  <si>
    <t>UAT Defect Log</t>
  </si>
  <si>
    <t>Track defects discovered during user acceptance testing. Complete blue cells, update workflow status through closure, and capture evidence or retest notes as needed.</t>
  </si>
  <si>
    <t>Defect ID</t>
  </si>
  <si>
    <t>Test Case ID</t>
  </si>
  <si>
    <t>Module / Feature</t>
  </si>
  <si>
    <t>Scenario</t>
  </si>
  <si>
    <t>Defect Summary</t>
  </si>
  <si>
    <t>Severity</t>
  </si>
  <si>
    <t>Priority</t>
  </si>
  <si>
    <t>Status</t>
  </si>
  <si>
    <t>Assigned To</t>
  </si>
  <si>
    <t>Reported By</t>
  </si>
  <si>
    <t>Date Found</t>
  </si>
  <si>
    <t>Expected Result</t>
  </si>
  <si>
    <t>Actual Result</t>
  </si>
  <si>
    <t>Reproducible (Y/N)</t>
  </si>
  <si>
    <t>Target Fix Date</t>
  </si>
  <si>
    <t>Retest Date</t>
  </si>
  <si>
    <t>Notes</t>
  </si>
  <si>
    <t>DEF-001</t>
  </si>
  <si>
    <t>TC-LOGIN-01</t>
  </si>
  <si>
    <t>Authentication</t>
  </si>
  <si>
    <t>Valid login with active user</t>
  </si>
  <si>
    <t>Login button does not respond on first click</t>
  </si>
  <si>
    <t>High</t>
  </si>
  <si>
    <t>Open</t>
  </si>
  <si>
    <t>Dev Team</t>
  </si>
  <si>
    <t>Jamie Christian</t>
  </si>
  <si>
    <t>User is logged in successfully</t>
  </si>
  <si>
    <t>No action occurs until second click</t>
  </si>
  <si>
    <t>Y</t>
  </si>
  <si>
    <t>Affects first-time login</t>
  </si>
  <si>
    <t>DEF-002</t>
  </si>
  <si>
    <t>TC-DASH-04</t>
  </si>
  <si>
    <t>Dashboard Filters</t>
  </si>
  <si>
    <t>Filter by department</t>
  </si>
  <si>
    <t>Department filter excludes one valid department from results</t>
  </si>
  <si>
    <t>Medium</t>
  </si>
  <si>
    <t>In Retest</t>
  </si>
  <si>
    <t>BI Team</t>
  </si>
  <si>
    <t>All departments appear in filter</t>
  </si>
  <si>
    <t>One valid department is missing</t>
  </si>
  <si>
    <t>Needs data model review</t>
  </si>
  <si>
    <t>DEF-003</t>
  </si>
  <si>
    <t>TC-EXP-02</t>
  </si>
  <si>
    <t>Export</t>
  </si>
  <si>
    <t>Export report to Excel</t>
  </si>
  <si>
    <t>Exported file drops conditional formatting on variance column</t>
  </si>
  <si>
    <t>Low</t>
  </si>
  <si>
    <t>Closed</t>
  </si>
  <si>
    <t>Formatting is preserved in export</t>
  </si>
  <si>
    <t>Formatting removed in exported file</t>
  </si>
  <si>
    <t>Closed after patch</t>
  </si>
  <si>
    <t>UAT Summary</t>
  </si>
  <si>
    <t>Project Name</t>
  </si>
  <si>
    <t>FP&amp;A Executive Analytics Project</t>
  </si>
  <si>
    <t>Instructions</t>
  </si>
  <si>
    <t>System / Application</t>
  </si>
  <si>
    <t>Executive Dashboard</t>
  </si>
  <si>
    <t>1. Update project details in blue cells.</t>
  </si>
  <si>
    <t>UAT Start Date</t>
  </si>
  <si>
    <t>2. Log every UAT issue on the Defect_Log sheet.</t>
  </si>
  <si>
    <t>UAT End Date</t>
  </si>
  <si>
    <t>3. Review severity and status counts daily.</t>
  </si>
  <si>
    <t>Prepared By</t>
  </si>
  <si>
    <t>4. Use the recommendation as an input to formal sign-off.</t>
  </si>
  <si>
    <t>Version</t>
  </si>
  <si>
    <t>1.0</t>
  </si>
  <si>
    <t>Defect Status Summary</t>
  </si>
  <si>
    <t>Severity Exposure</t>
  </si>
  <si>
    <t>Total Defects Logged</t>
  </si>
  <si>
    <t>Critical Open</t>
  </si>
  <si>
    <t>High Open</t>
  </si>
  <si>
    <t>In Progress</t>
  </si>
  <si>
    <t>Medium Open</t>
  </si>
  <si>
    <t>Ready for Retest</t>
  </si>
  <si>
    <t>Low Open</t>
  </si>
  <si>
    <t>Deferred</t>
  </si>
  <si>
    <t>Blocked</t>
  </si>
  <si>
    <t>Release Readiness</t>
  </si>
  <si>
    <t>Daily Status Notes</t>
  </si>
  <si>
    <t>Critical defects cleared?</t>
  </si>
  <si>
    <t>Document daily status, sign-off conditions, workarounds, and final business decision notes here.</t>
  </si>
  <si>
    <t>High defects acceptable?</t>
  </si>
  <si>
    <t>All blocking defects resolved?</t>
  </si>
  <si>
    <t>Overall recommendation</t>
  </si>
  <si>
    <t>UAT Sign-Off</t>
  </si>
  <si>
    <t>Current Recommendation</t>
  </si>
  <si>
    <t>Release / Version</t>
  </si>
  <si>
    <t>Business Owner</t>
  </si>
  <si>
    <t>Open Critical / High</t>
  </si>
  <si>
    <t>UAT Lead</t>
  </si>
  <si>
    <t>Sign-Off Date</t>
  </si>
  <si>
    <t>Sign-Off Decision Matrix</t>
  </si>
  <si>
    <t>Role</t>
  </si>
  <si>
    <t>Name</t>
  </si>
  <si>
    <t>Title</t>
  </si>
  <si>
    <t>Decision</t>
  </si>
  <si>
    <t>Date</t>
  </si>
  <si>
    <t>Comments</t>
  </si>
  <si>
    <t>Pending</t>
  </si>
  <si>
    <t>Project Sponsor</t>
  </si>
  <si>
    <t>Technology Owner</t>
  </si>
  <si>
    <t>Final Approval Notes</t>
  </si>
  <si>
    <t>Summarize residual risk, production readiness, agreed workarounds, and any post-release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</si>
</sst>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444444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062"/>
      </patternFill>
    </fill>
    <fill>
      <patternFill patternType="solid">
        <fgColor rgb="FFF3F4F6"/>
      </patternFill>
    </fill>
    <fill>
      <patternFill patternType="solid">
        <fgColor rgb="FFFFFDEB"/>
      </patternFill>
    </fill>
    <fill>
      <patternFill patternType="solid">
        <fgColor rgb="FFEAF4FB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B7C3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0" fontId="6" fillId="7" borderId="0" xfId="0" applyFont="1" applyFill="1"/>
    <xf numFmtId="0" fontId="6" fillId="8" borderId="0" xfId="0" applyFont="1" applyFill="1"/>
    <xf numFmtId="0" fontId="0" fillId="8" borderId="0" xfId="0" applyFill="1"/>
    <xf numFmtId="0" fontId="3" fillId="3" borderId="0" xfId="0" applyFont="1" applyFill="1" applyAlignment="1">
      <alignment horizontal="center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/>
    <xf numFmtId="0" fontId="0" fillId="5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3" fillId="3" borderId="0" xfId="0" applyFont="1" applyFill="1"/>
    <xf numFmtId="0" fontId="0" fillId="5" borderId="2" xfId="0" applyFill="1" applyBorder="1" applyAlignment="1">
      <alignment vertical="top" wrapText="1"/>
    </xf>
    <xf numFmtId="0" fontId="6" fillId="7" borderId="0" xfId="0" applyFont="1" applyFill="1"/>
  </cellXfs>
  <cellStyles count="1">
    <cellStyle name="Normal" xfId="0" builtinId="0"/>
  </cellStyles>
  <dxfs count="13"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DE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Table" displayName="DefectTable" ref="A3:Q500">
  <autoFilter ref="A3:Q500" xr:uid="{00000000-0009-0000-0100-000001000000}"/>
  <tableColumns count="17">
    <tableColumn id="1" xr3:uid="{00000000-0010-0000-0000-000001000000}" name="Defect ID"/>
    <tableColumn id="2" xr3:uid="{00000000-0010-0000-0000-000002000000}" name="Test Case ID"/>
    <tableColumn id="3" xr3:uid="{00000000-0010-0000-0000-000003000000}" name="Module / Feature"/>
    <tableColumn id="4" xr3:uid="{00000000-0010-0000-0000-000004000000}" name="Scenario"/>
    <tableColumn id="5" xr3:uid="{00000000-0010-0000-0000-000005000000}" name="Defect Summary"/>
    <tableColumn id="6" xr3:uid="{00000000-0010-0000-0000-000006000000}" name="Severity"/>
    <tableColumn id="7" xr3:uid="{00000000-0010-0000-0000-000007000000}" name="Priority"/>
    <tableColumn id="8" xr3:uid="{00000000-0010-0000-0000-000008000000}" name="Status"/>
    <tableColumn id="9" xr3:uid="{00000000-0010-0000-0000-000009000000}" name="Assigned To"/>
    <tableColumn id="10" xr3:uid="{00000000-0010-0000-0000-00000A000000}" name="Reported By"/>
    <tableColumn id="11" xr3:uid="{00000000-0010-0000-0000-00000B000000}" name="Date Found"/>
    <tableColumn id="12" xr3:uid="{00000000-0010-0000-0000-00000C000000}" name="Expected Result"/>
    <tableColumn id="13" xr3:uid="{00000000-0010-0000-0000-00000D000000}" name="Actual Result"/>
    <tableColumn id="14" xr3:uid="{00000000-0010-0000-0000-00000E000000}" name="Reproducible (Y/N)"/>
    <tableColumn id="15" xr3:uid="{00000000-0010-0000-0000-00000F000000}" name="Target Fix Date"/>
    <tableColumn id="16" xr3:uid="{00000000-0010-0000-0000-000010000000}" name="Retest Date"/>
    <tableColumn id="17" xr3:uid="{00000000-0010-0000-0000-00001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showGridLines="0" workbookViewId="0">
      <pane ySplit="3" topLeftCell="A4" activePane="bottomLeft" state="frozen"/>
      <selection pane="bottomLeft" sqref="A1:Q1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4" width="24" customWidth="1"/>
    <col min="5" max="5" width="34" customWidth="1"/>
    <col min="6" max="7" width="12" customWidth="1"/>
    <col min="8" max="10" width="16" customWidth="1"/>
    <col min="11" max="11" width="12" customWidth="1"/>
    <col min="12" max="13" width="28" customWidth="1"/>
    <col min="14" max="14" width="18" customWidth="1"/>
    <col min="15" max="16" width="14" customWidth="1"/>
    <col min="17" max="17" width="20" customWidth="1"/>
  </cols>
  <sheetData>
    <row r="1" spans="1:17" ht="24" customHeight="1" x14ac:dyDescent="0.2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ht="32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  <c r="H4" s="2" t="s">
        <v>25</v>
      </c>
      <c r="I4" s="2" t="s">
        <v>26</v>
      </c>
      <c r="J4" s="2" t="s">
        <v>27</v>
      </c>
      <c r="K4" s="3">
        <v>46091</v>
      </c>
      <c r="L4" s="2" t="s">
        <v>28</v>
      </c>
      <c r="M4" s="2" t="s">
        <v>29</v>
      </c>
      <c r="N4" s="2" t="s">
        <v>30</v>
      </c>
      <c r="O4" s="3">
        <v>46093</v>
      </c>
      <c r="P4" s="3"/>
      <c r="Q4" s="2" t="s">
        <v>31</v>
      </c>
    </row>
    <row r="5" spans="1:17" ht="32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37</v>
      </c>
      <c r="H5" s="2" t="s">
        <v>38</v>
      </c>
      <c r="I5" s="2" t="s">
        <v>39</v>
      </c>
      <c r="J5" s="2" t="s">
        <v>27</v>
      </c>
      <c r="K5" s="3">
        <v>46091</v>
      </c>
      <c r="L5" s="2" t="s">
        <v>40</v>
      </c>
      <c r="M5" s="2" t="s">
        <v>41</v>
      </c>
      <c r="N5" s="2" t="s">
        <v>30</v>
      </c>
      <c r="O5" s="3">
        <v>46094</v>
      </c>
      <c r="P5" s="3"/>
      <c r="Q5" s="2" t="s">
        <v>42</v>
      </c>
    </row>
    <row r="6" spans="1:17" ht="32" x14ac:dyDescent="0.2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48</v>
      </c>
      <c r="H6" s="2" t="s">
        <v>49</v>
      </c>
      <c r="I6" s="2" t="s">
        <v>39</v>
      </c>
      <c r="J6" s="2" t="s">
        <v>27</v>
      </c>
      <c r="K6" s="3">
        <v>46091</v>
      </c>
      <c r="L6" s="2" t="s">
        <v>50</v>
      </c>
      <c r="M6" s="2" t="s">
        <v>51</v>
      </c>
      <c r="N6" s="2" t="s">
        <v>30</v>
      </c>
      <c r="O6" s="3">
        <v>46092</v>
      </c>
      <c r="P6" s="3">
        <v>46093</v>
      </c>
      <c r="Q6" s="2" t="s">
        <v>52</v>
      </c>
    </row>
    <row r="7" spans="1:1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3"/>
      <c r="P7" s="3"/>
      <c r="Q7" s="2"/>
    </row>
    <row r="8" spans="1:1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3"/>
      <c r="P8" s="3"/>
      <c r="Q8" s="2"/>
    </row>
    <row r="9" spans="1:1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3"/>
      <c r="P9" s="3"/>
      <c r="Q9" s="2"/>
    </row>
    <row r="10" spans="1:1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3"/>
      <c r="P10" s="3"/>
      <c r="Q10" s="2"/>
    </row>
    <row r="11" spans="1:17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3"/>
      <c r="P11" s="3"/>
      <c r="Q11" s="2"/>
    </row>
    <row r="12" spans="1:1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3"/>
      <c r="P12" s="3"/>
      <c r="Q12" s="2"/>
    </row>
    <row r="13" spans="1:1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3"/>
      <c r="P13" s="3"/>
      <c r="Q13" s="2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3"/>
      <c r="P14" s="3"/>
      <c r="Q14" s="2"/>
    </row>
    <row r="15" spans="1:1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3"/>
      <c r="P15" s="3"/>
      <c r="Q15" s="2"/>
    </row>
    <row r="16" spans="1:1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3"/>
      <c r="P16" s="3"/>
      <c r="Q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3"/>
      <c r="P17" s="3"/>
      <c r="Q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3"/>
      <c r="P18" s="3"/>
      <c r="Q18" s="2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3"/>
      <c r="P19" s="3"/>
      <c r="Q19" s="2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3"/>
      <c r="P20" s="3"/>
      <c r="Q20" s="2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3"/>
      <c r="P21" s="3"/>
      <c r="Q21" s="2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3"/>
      <c r="P22" s="3"/>
      <c r="Q22" s="2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3"/>
      <c r="P23" s="3"/>
      <c r="Q23" s="2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3"/>
      <c r="P24" s="3"/>
      <c r="Q24" s="2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3"/>
      <c r="P25" s="3"/>
      <c r="Q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3"/>
      <c r="P26" s="3"/>
      <c r="Q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3"/>
      <c r="P27" s="3"/>
      <c r="Q27" s="2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3"/>
      <c r="P28" s="3"/>
      <c r="Q28" s="2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3"/>
      <c r="P29" s="3"/>
      <c r="Q29" s="2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3"/>
      <c r="P30" s="3"/>
      <c r="Q30" s="2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3"/>
      <c r="P31" s="3"/>
      <c r="Q31" s="2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3"/>
      <c r="P32" s="3"/>
      <c r="Q32" s="2"/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2"/>
      <c r="M33" s="2"/>
      <c r="N33" s="2"/>
      <c r="O33" s="3"/>
      <c r="P33" s="3"/>
      <c r="Q33" s="2"/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2"/>
      <c r="M34" s="2"/>
      <c r="N34" s="2"/>
      <c r="O34" s="3"/>
      <c r="P34" s="3"/>
      <c r="Q34" s="2"/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2"/>
      <c r="M35" s="2"/>
      <c r="N35" s="2"/>
      <c r="O35" s="3"/>
      <c r="P35" s="3"/>
      <c r="Q35" s="2"/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2"/>
      <c r="M36" s="2"/>
      <c r="N36" s="2"/>
      <c r="O36" s="3"/>
      <c r="P36" s="3"/>
      <c r="Q36" s="2"/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2"/>
      <c r="M37" s="2"/>
      <c r="N37" s="2"/>
      <c r="O37" s="3"/>
      <c r="P37" s="3"/>
      <c r="Q37" s="2"/>
    </row>
    <row r="38" spans="1:1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2"/>
      <c r="M38" s="2"/>
      <c r="N38" s="2"/>
      <c r="O38" s="3"/>
      <c r="P38" s="3"/>
      <c r="Q38" s="2"/>
    </row>
    <row r="39" spans="1:1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2"/>
      <c r="M39" s="2"/>
      <c r="N39" s="2"/>
      <c r="O39" s="3"/>
      <c r="P39" s="3"/>
      <c r="Q39" s="2"/>
    </row>
    <row r="40" spans="1:1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2"/>
      <c r="M40" s="2"/>
      <c r="N40" s="2"/>
      <c r="O40" s="3"/>
      <c r="P40" s="3"/>
      <c r="Q40" s="2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2"/>
      <c r="M41" s="2"/>
      <c r="N41" s="2"/>
      <c r="O41" s="3"/>
      <c r="P41" s="3"/>
      <c r="Q41" s="2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2"/>
      <c r="M42" s="2"/>
      <c r="N42" s="2"/>
      <c r="O42" s="3"/>
      <c r="P42" s="3"/>
      <c r="Q42" s="2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2"/>
      <c r="M43" s="2"/>
      <c r="N43" s="2"/>
      <c r="O43" s="3"/>
      <c r="P43" s="3"/>
      <c r="Q43" s="2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2"/>
      <c r="M44" s="2"/>
      <c r="N44" s="2"/>
      <c r="O44" s="3"/>
      <c r="P44" s="3"/>
      <c r="Q44" s="2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2"/>
      <c r="M45" s="2"/>
      <c r="N45" s="2"/>
      <c r="O45" s="3"/>
      <c r="P45" s="3"/>
      <c r="Q45" s="2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  <c r="M46" s="2"/>
      <c r="N46" s="2"/>
      <c r="O46" s="3"/>
      <c r="P46" s="3"/>
      <c r="Q46" s="2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  <c r="M47" s="2"/>
      <c r="N47" s="2"/>
      <c r="O47" s="3"/>
      <c r="P47" s="3"/>
      <c r="Q47" s="2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2"/>
      <c r="M48" s="2"/>
      <c r="N48" s="2"/>
      <c r="O48" s="3"/>
      <c r="P48" s="3"/>
      <c r="Q48" s="2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2"/>
      <c r="M49" s="2"/>
      <c r="N49" s="2"/>
      <c r="O49" s="3"/>
      <c r="P49" s="3"/>
      <c r="Q49" s="2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2"/>
      <c r="M50" s="2"/>
      <c r="N50" s="2"/>
      <c r="O50" s="3"/>
      <c r="P50" s="3"/>
      <c r="Q50" s="2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2"/>
      <c r="M51" s="2"/>
      <c r="N51" s="2"/>
      <c r="O51" s="3"/>
      <c r="P51" s="3"/>
      <c r="Q51" s="2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2"/>
      <c r="M52" s="2"/>
      <c r="N52" s="2"/>
      <c r="O52" s="3"/>
      <c r="P52" s="3"/>
      <c r="Q52" s="2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2"/>
      <c r="M53" s="2"/>
      <c r="N53" s="2"/>
      <c r="O53" s="3"/>
      <c r="P53" s="3"/>
      <c r="Q53" s="2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2"/>
      <c r="M54" s="2"/>
      <c r="N54" s="2"/>
      <c r="O54" s="3"/>
      <c r="P54" s="3"/>
      <c r="Q54" s="2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2"/>
      <c r="M55" s="2"/>
      <c r="N55" s="2"/>
      <c r="O55" s="3"/>
      <c r="P55" s="3"/>
      <c r="Q55" s="2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2"/>
      <c r="M56" s="2"/>
      <c r="N56" s="2"/>
      <c r="O56" s="3"/>
      <c r="P56" s="3"/>
      <c r="Q56" s="2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2"/>
      <c r="M57" s="2"/>
      <c r="N57" s="2"/>
      <c r="O57" s="3"/>
      <c r="P57" s="3"/>
      <c r="Q57" s="2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2"/>
      <c r="M58" s="2"/>
      <c r="N58" s="2"/>
      <c r="O58" s="3"/>
      <c r="P58" s="3"/>
      <c r="Q58" s="2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  <c r="M59" s="2"/>
      <c r="N59" s="2"/>
      <c r="O59" s="3"/>
      <c r="P59" s="3"/>
      <c r="Q59" s="2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2"/>
      <c r="M60" s="2"/>
      <c r="N60" s="2"/>
      <c r="O60" s="3"/>
      <c r="P60" s="3"/>
      <c r="Q60" s="2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  <c r="M61" s="2"/>
      <c r="N61" s="2"/>
      <c r="O61" s="3"/>
      <c r="P61" s="3"/>
      <c r="Q61" s="2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2"/>
      <c r="M62" s="2"/>
      <c r="N62" s="2"/>
      <c r="O62" s="3"/>
      <c r="P62" s="3"/>
      <c r="Q62" s="2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2"/>
      <c r="M63" s="2"/>
      <c r="N63" s="2"/>
      <c r="O63" s="3"/>
      <c r="P63" s="3"/>
      <c r="Q63" s="2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2"/>
      <c r="M64" s="2"/>
      <c r="N64" s="2"/>
      <c r="O64" s="3"/>
      <c r="P64" s="3"/>
      <c r="Q64" s="2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  <c r="M65" s="2"/>
      <c r="N65" s="2"/>
      <c r="O65" s="3"/>
      <c r="P65" s="3"/>
      <c r="Q65" s="2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2"/>
      <c r="M66" s="2"/>
      <c r="N66" s="2"/>
      <c r="O66" s="3"/>
      <c r="P66" s="3"/>
      <c r="Q66" s="2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  <c r="M67" s="2"/>
      <c r="N67" s="2"/>
      <c r="O67" s="3"/>
      <c r="P67" s="3"/>
      <c r="Q67" s="2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2"/>
      <c r="N68" s="2"/>
      <c r="O68" s="3"/>
      <c r="P68" s="3"/>
      <c r="Q68" s="2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  <c r="M69" s="2"/>
      <c r="N69" s="2"/>
      <c r="O69" s="3"/>
      <c r="P69" s="3"/>
      <c r="Q69" s="2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3"/>
      <c r="P70" s="3"/>
      <c r="Q70" s="2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2"/>
      <c r="N71" s="2"/>
      <c r="O71" s="3"/>
      <c r="P71" s="3"/>
      <c r="Q71" s="2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2"/>
      <c r="N72" s="2"/>
      <c r="O72" s="3"/>
      <c r="P72" s="3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  <c r="M73" s="2"/>
      <c r="N73" s="2"/>
      <c r="O73" s="3"/>
      <c r="P73" s="3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3"/>
      <c r="P74" s="3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3"/>
      <c r="P75" s="3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3"/>
      <c r="P76" s="3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3"/>
      <c r="P77" s="3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3"/>
      <c r="P78" s="3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3"/>
      <c r="P79" s="3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3"/>
      <c r="P80" s="3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3"/>
      <c r="P81" s="3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3"/>
      <c r="P82" s="3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3"/>
      <c r="P83" s="3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3"/>
      <c r="P84" s="3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3"/>
      <c r="P85" s="3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3"/>
      <c r="P86" s="3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3"/>
      <c r="P87" s="3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3"/>
      <c r="P88" s="3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3"/>
      <c r="P89" s="3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3"/>
      <c r="P90" s="3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3"/>
      <c r="P91" s="3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3"/>
      <c r="P92" s="3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3"/>
      <c r="P93" s="3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3"/>
      <c r="P94" s="3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3"/>
      <c r="P95" s="3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3"/>
      <c r="P96" s="3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3"/>
      <c r="P97" s="3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3"/>
      <c r="P98" s="3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3"/>
      <c r="P99" s="3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3"/>
      <c r="P100" s="3"/>
      <c r="Q100" s="2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2"/>
      <c r="M101" s="2"/>
      <c r="N101" s="2"/>
      <c r="O101" s="3"/>
      <c r="P101" s="3"/>
      <c r="Q101" s="2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3"/>
      <c r="P102" s="3"/>
      <c r="Q102" s="2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2"/>
      <c r="M103" s="2"/>
      <c r="N103" s="2"/>
      <c r="O103" s="3"/>
      <c r="P103" s="3"/>
      <c r="Q103" s="2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2"/>
      <c r="M104" s="2"/>
      <c r="N104" s="2"/>
      <c r="O104" s="3"/>
      <c r="P104" s="3"/>
      <c r="Q104" s="2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2"/>
      <c r="M105" s="2"/>
      <c r="N105" s="2"/>
      <c r="O105" s="3"/>
      <c r="P105" s="3"/>
      <c r="Q105" s="2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2"/>
      <c r="M106" s="2"/>
      <c r="N106" s="2"/>
      <c r="O106" s="3"/>
      <c r="P106" s="3"/>
      <c r="Q106" s="2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2"/>
      <c r="M107" s="2"/>
      <c r="N107" s="2"/>
      <c r="O107" s="3"/>
      <c r="P107" s="3"/>
      <c r="Q107" s="2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2"/>
      <c r="M108" s="2"/>
      <c r="N108" s="2"/>
      <c r="O108" s="3"/>
      <c r="P108" s="3"/>
      <c r="Q108" s="2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2"/>
      <c r="M109" s="2"/>
      <c r="N109" s="2"/>
      <c r="O109" s="3"/>
      <c r="P109" s="3"/>
      <c r="Q109" s="2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2"/>
      <c r="M110" s="2"/>
      <c r="N110" s="2"/>
      <c r="O110" s="3"/>
      <c r="P110" s="3"/>
      <c r="Q110" s="2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2"/>
      <c r="M111" s="2"/>
      <c r="N111" s="2"/>
      <c r="O111" s="3"/>
      <c r="P111" s="3"/>
      <c r="Q111" s="2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3"/>
      <c r="P112" s="3"/>
      <c r="Q112" s="2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2"/>
      <c r="M113" s="2"/>
      <c r="N113" s="2"/>
      <c r="O113" s="3"/>
      <c r="P113" s="3"/>
      <c r="Q113" s="2"/>
    </row>
    <row r="114" spans="1:1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2"/>
      <c r="M114" s="2"/>
      <c r="N114" s="2"/>
      <c r="O114" s="3"/>
      <c r="P114" s="3"/>
      <c r="Q114" s="2"/>
    </row>
    <row r="115" spans="1:1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2"/>
      <c r="M115" s="2"/>
      <c r="N115" s="2"/>
      <c r="O115" s="3"/>
      <c r="P115" s="3"/>
      <c r="Q115" s="2"/>
    </row>
    <row r="116" spans="1:1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2"/>
      <c r="M116" s="2"/>
      <c r="N116" s="2"/>
      <c r="O116" s="3"/>
      <c r="P116" s="3"/>
      <c r="Q116" s="2"/>
    </row>
    <row r="117" spans="1:1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2"/>
      <c r="M117" s="2"/>
      <c r="N117" s="2"/>
      <c r="O117" s="3"/>
      <c r="P117" s="3"/>
      <c r="Q117" s="2"/>
    </row>
    <row r="118" spans="1:1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2"/>
      <c r="M118" s="2"/>
      <c r="N118" s="2"/>
      <c r="O118" s="3"/>
      <c r="P118" s="3"/>
      <c r="Q118" s="2"/>
    </row>
    <row r="119" spans="1:1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2"/>
      <c r="M119" s="2"/>
      <c r="N119" s="2"/>
      <c r="O119" s="3"/>
      <c r="P119" s="3"/>
      <c r="Q119" s="2"/>
    </row>
    <row r="120" spans="1:1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  <c r="M120" s="2"/>
      <c r="N120" s="2"/>
      <c r="O120" s="3"/>
      <c r="P120" s="3"/>
      <c r="Q120" s="2"/>
    </row>
    <row r="121" spans="1:1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2"/>
      <c r="M121" s="2"/>
      <c r="N121" s="2"/>
      <c r="O121" s="3"/>
      <c r="P121" s="3"/>
      <c r="Q121" s="2"/>
    </row>
    <row r="122" spans="1:1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2"/>
      <c r="M122" s="2"/>
      <c r="N122" s="2"/>
      <c r="O122" s="3"/>
      <c r="P122" s="3"/>
      <c r="Q122" s="2"/>
    </row>
    <row r="123" spans="1:1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2"/>
      <c r="M123" s="2"/>
      <c r="N123" s="2"/>
      <c r="O123" s="3"/>
      <c r="P123" s="3"/>
      <c r="Q123" s="2"/>
    </row>
    <row r="124" spans="1:1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2"/>
      <c r="M124" s="2"/>
      <c r="N124" s="2"/>
      <c r="O124" s="3"/>
      <c r="P124" s="3"/>
      <c r="Q124" s="2"/>
    </row>
    <row r="125" spans="1:1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2"/>
      <c r="M125" s="2"/>
      <c r="N125" s="2"/>
      <c r="O125" s="3"/>
      <c r="P125" s="3"/>
      <c r="Q125" s="2"/>
    </row>
    <row r="126" spans="1:1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2"/>
      <c r="M126" s="2"/>
      <c r="N126" s="2"/>
      <c r="O126" s="3"/>
      <c r="P126" s="3"/>
      <c r="Q126" s="2"/>
    </row>
    <row r="127" spans="1:1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2"/>
      <c r="M127" s="2"/>
      <c r="N127" s="2"/>
      <c r="O127" s="3"/>
      <c r="P127" s="3"/>
      <c r="Q127" s="2"/>
    </row>
    <row r="128" spans="1:1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2"/>
      <c r="M128" s="2"/>
      <c r="N128" s="2"/>
      <c r="O128" s="3"/>
      <c r="P128" s="3"/>
      <c r="Q128" s="2"/>
    </row>
    <row r="129" spans="1:1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2"/>
      <c r="M129" s="2"/>
      <c r="N129" s="2"/>
      <c r="O129" s="3"/>
      <c r="P129" s="3"/>
      <c r="Q129" s="2"/>
    </row>
    <row r="130" spans="1:1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2"/>
      <c r="M130" s="2"/>
      <c r="N130" s="2"/>
      <c r="O130" s="3"/>
      <c r="P130" s="3"/>
      <c r="Q130" s="2"/>
    </row>
    <row r="131" spans="1:1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2"/>
      <c r="M131" s="2"/>
      <c r="N131" s="2"/>
      <c r="O131" s="3"/>
      <c r="P131" s="3"/>
      <c r="Q131" s="2"/>
    </row>
    <row r="132" spans="1:1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2"/>
      <c r="M132" s="2"/>
      <c r="N132" s="2"/>
      <c r="O132" s="3"/>
      <c r="P132" s="3"/>
      <c r="Q132" s="2"/>
    </row>
    <row r="133" spans="1:1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2"/>
      <c r="M133" s="2"/>
      <c r="N133" s="2"/>
      <c r="O133" s="3"/>
      <c r="P133" s="3"/>
      <c r="Q133" s="2"/>
    </row>
    <row r="134" spans="1:1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2"/>
      <c r="M134" s="2"/>
      <c r="N134" s="2"/>
      <c r="O134" s="3"/>
      <c r="P134" s="3"/>
      <c r="Q134" s="2"/>
    </row>
    <row r="135" spans="1:1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2"/>
      <c r="M135" s="2"/>
      <c r="N135" s="2"/>
      <c r="O135" s="3"/>
      <c r="P135" s="3"/>
      <c r="Q135" s="2"/>
    </row>
    <row r="136" spans="1:1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2"/>
      <c r="M136" s="2"/>
      <c r="N136" s="2"/>
      <c r="O136" s="3"/>
      <c r="P136" s="3"/>
      <c r="Q136" s="2"/>
    </row>
    <row r="137" spans="1:1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2"/>
      <c r="M137" s="2"/>
      <c r="N137" s="2"/>
      <c r="O137" s="3"/>
      <c r="P137" s="3"/>
      <c r="Q137" s="2"/>
    </row>
    <row r="138" spans="1:1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2"/>
      <c r="M138" s="2"/>
      <c r="N138" s="2"/>
      <c r="O138" s="3"/>
      <c r="P138" s="3"/>
      <c r="Q138" s="2"/>
    </row>
    <row r="139" spans="1:1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2"/>
      <c r="M139" s="2"/>
      <c r="N139" s="2"/>
      <c r="O139" s="3"/>
      <c r="P139" s="3"/>
      <c r="Q139" s="2"/>
    </row>
    <row r="140" spans="1:1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2"/>
      <c r="M140" s="2"/>
      <c r="N140" s="2"/>
      <c r="O140" s="3"/>
      <c r="P140" s="3"/>
      <c r="Q140" s="2"/>
    </row>
    <row r="141" spans="1:1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2"/>
      <c r="M141" s="2"/>
      <c r="N141" s="2"/>
      <c r="O141" s="3"/>
      <c r="P141" s="3"/>
      <c r="Q141" s="2"/>
    </row>
    <row r="142" spans="1:1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2"/>
      <c r="M142" s="2"/>
      <c r="N142" s="2"/>
      <c r="O142" s="3"/>
      <c r="P142" s="3"/>
      <c r="Q142" s="2"/>
    </row>
    <row r="143" spans="1:1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2"/>
      <c r="M143" s="2"/>
      <c r="N143" s="2"/>
      <c r="O143" s="3"/>
      <c r="P143" s="3"/>
      <c r="Q143" s="2"/>
    </row>
    <row r="144" spans="1:1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2"/>
      <c r="M144" s="2"/>
      <c r="N144" s="2"/>
      <c r="O144" s="3"/>
      <c r="P144" s="3"/>
      <c r="Q144" s="2"/>
    </row>
    <row r="145" spans="1:1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2"/>
      <c r="M145" s="2"/>
      <c r="N145" s="2"/>
      <c r="O145" s="3"/>
      <c r="P145" s="3"/>
      <c r="Q145" s="2"/>
    </row>
    <row r="146" spans="1:1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2"/>
      <c r="M146" s="2"/>
      <c r="N146" s="2"/>
      <c r="O146" s="3"/>
      <c r="P146" s="3"/>
      <c r="Q146" s="2"/>
    </row>
    <row r="147" spans="1:1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2"/>
      <c r="M147" s="2"/>
      <c r="N147" s="2"/>
      <c r="O147" s="3"/>
      <c r="P147" s="3"/>
      <c r="Q147" s="2"/>
    </row>
    <row r="148" spans="1:1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2"/>
      <c r="M148" s="2"/>
      <c r="N148" s="2"/>
      <c r="O148" s="3"/>
      <c r="P148" s="3"/>
      <c r="Q148" s="2"/>
    </row>
    <row r="149" spans="1:1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2"/>
      <c r="M149" s="2"/>
      <c r="N149" s="2"/>
      <c r="O149" s="3"/>
      <c r="P149" s="3"/>
      <c r="Q149" s="2"/>
    </row>
    <row r="150" spans="1:1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2"/>
      <c r="M150" s="2"/>
      <c r="N150" s="2"/>
      <c r="O150" s="3"/>
      <c r="P150" s="3"/>
      <c r="Q150" s="2"/>
    </row>
    <row r="151" spans="1:1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2"/>
      <c r="M151" s="2"/>
      <c r="N151" s="2"/>
      <c r="O151" s="3"/>
      <c r="P151" s="3"/>
      <c r="Q151" s="2"/>
    </row>
    <row r="152" spans="1:1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2"/>
      <c r="M152" s="2"/>
      <c r="N152" s="2"/>
      <c r="O152" s="3"/>
      <c r="P152" s="3"/>
      <c r="Q152" s="2"/>
    </row>
    <row r="153" spans="1:1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2"/>
      <c r="M153" s="2"/>
      <c r="N153" s="2"/>
      <c r="O153" s="3"/>
      <c r="P153" s="3"/>
      <c r="Q153" s="2"/>
    </row>
    <row r="154" spans="1:1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2"/>
      <c r="M154" s="2"/>
      <c r="N154" s="2"/>
      <c r="O154" s="3"/>
      <c r="P154" s="3"/>
      <c r="Q154" s="2"/>
    </row>
    <row r="155" spans="1:1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2"/>
      <c r="M155" s="2"/>
      <c r="N155" s="2"/>
      <c r="O155" s="3"/>
      <c r="P155" s="3"/>
      <c r="Q155" s="2"/>
    </row>
    <row r="156" spans="1:1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2"/>
      <c r="M156" s="2"/>
      <c r="N156" s="2"/>
      <c r="O156" s="3"/>
      <c r="P156" s="3"/>
      <c r="Q156" s="2"/>
    </row>
    <row r="157" spans="1:1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2"/>
      <c r="M157" s="2"/>
      <c r="N157" s="2"/>
      <c r="O157" s="3"/>
      <c r="P157" s="3"/>
      <c r="Q157" s="2"/>
    </row>
    <row r="158" spans="1:1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2"/>
      <c r="M158" s="2"/>
      <c r="N158" s="2"/>
      <c r="O158" s="3"/>
      <c r="P158" s="3"/>
      <c r="Q158" s="2"/>
    </row>
    <row r="159" spans="1:1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2"/>
      <c r="M159" s="2"/>
      <c r="N159" s="2"/>
      <c r="O159" s="3"/>
      <c r="P159" s="3"/>
      <c r="Q159" s="2"/>
    </row>
    <row r="160" spans="1:1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2"/>
      <c r="M160" s="2"/>
      <c r="N160" s="2"/>
      <c r="O160" s="3"/>
      <c r="P160" s="3"/>
      <c r="Q160" s="2"/>
    </row>
    <row r="161" spans="1:1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2"/>
      <c r="M161" s="2"/>
      <c r="N161" s="2"/>
      <c r="O161" s="3"/>
      <c r="P161" s="3"/>
      <c r="Q161" s="2"/>
    </row>
    <row r="162" spans="1:1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2"/>
      <c r="M162" s="2"/>
      <c r="N162" s="2"/>
      <c r="O162" s="3"/>
      <c r="P162" s="3"/>
      <c r="Q162" s="2"/>
    </row>
    <row r="163" spans="1:1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2"/>
      <c r="M163" s="2"/>
      <c r="N163" s="2"/>
      <c r="O163" s="3"/>
      <c r="P163" s="3"/>
      <c r="Q163" s="2"/>
    </row>
    <row r="164" spans="1:1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2"/>
      <c r="M164" s="2"/>
      <c r="N164" s="2"/>
      <c r="O164" s="3"/>
      <c r="P164" s="3"/>
      <c r="Q164" s="2"/>
    </row>
    <row r="165" spans="1:1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2"/>
      <c r="M165" s="2"/>
      <c r="N165" s="2"/>
      <c r="O165" s="3"/>
      <c r="P165" s="3"/>
      <c r="Q165" s="2"/>
    </row>
    <row r="166" spans="1:1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2"/>
      <c r="M166" s="2"/>
      <c r="N166" s="2"/>
      <c r="O166" s="3"/>
      <c r="P166" s="3"/>
      <c r="Q166" s="2"/>
    </row>
    <row r="167" spans="1:1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2"/>
      <c r="M167" s="2"/>
      <c r="N167" s="2"/>
      <c r="O167" s="3"/>
      <c r="P167" s="3"/>
      <c r="Q167" s="2"/>
    </row>
    <row r="168" spans="1:1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2"/>
      <c r="M168" s="2"/>
      <c r="N168" s="2"/>
      <c r="O168" s="3"/>
      <c r="P168" s="3"/>
      <c r="Q168" s="2"/>
    </row>
    <row r="169" spans="1:1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2"/>
      <c r="M169" s="2"/>
      <c r="N169" s="2"/>
      <c r="O169" s="3"/>
      <c r="P169" s="3"/>
      <c r="Q169" s="2"/>
    </row>
    <row r="170" spans="1:1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2"/>
      <c r="M170" s="2"/>
      <c r="N170" s="2"/>
      <c r="O170" s="3"/>
      <c r="P170" s="3"/>
      <c r="Q170" s="2"/>
    </row>
    <row r="171" spans="1:1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2"/>
      <c r="M171" s="2"/>
      <c r="N171" s="2"/>
      <c r="O171" s="3"/>
      <c r="P171" s="3"/>
      <c r="Q171" s="2"/>
    </row>
    <row r="172" spans="1:1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2"/>
      <c r="M172" s="2"/>
      <c r="N172" s="2"/>
      <c r="O172" s="3"/>
      <c r="P172" s="3"/>
      <c r="Q172" s="2"/>
    </row>
    <row r="173" spans="1:1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2"/>
      <c r="M173" s="2"/>
      <c r="N173" s="2"/>
      <c r="O173" s="3"/>
      <c r="P173" s="3"/>
      <c r="Q173" s="2"/>
    </row>
    <row r="174" spans="1:1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2"/>
      <c r="M174" s="2"/>
      <c r="N174" s="2"/>
      <c r="O174" s="3"/>
      <c r="P174" s="3"/>
      <c r="Q174" s="2"/>
    </row>
    <row r="175" spans="1:1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2"/>
      <c r="M175" s="2"/>
      <c r="N175" s="2"/>
      <c r="O175" s="3"/>
      <c r="P175" s="3"/>
      <c r="Q175" s="2"/>
    </row>
    <row r="176" spans="1:1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2"/>
      <c r="M176" s="2"/>
      <c r="N176" s="2"/>
      <c r="O176" s="3"/>
      <c r="P176" s="3"/>
      <c r="Q176" s="2"/>
    </row>
    <row r="177" spans="1:1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2"/>
      <c r="M177" s="2"/>
      <c r="N177" s="2"/>
      <c r="O177" s="3"/>
      <c r="P177" s="3"/>
      <c r="Q177" s="2"/>
    </row>
    <row r="178" spans="1:1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2"/>
      <c r="M178" s="2"/>
      <c r="N178" s="2"/>
      <c r="O178" s="3"/>
      <c r="P178" s="3"/>
      <c r="Q178" s="2"/>
    </row>
    <row r="179" spans="1:1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2"/>
      <c r="M179" s="2"/>
      <c r="N179" s="2"/>
      <c r="O179" s="3"/>
      <c r="P179" s="3"/>
      <c r="Q179" s="2"/>
    </row>
    <row r="180" spans="1:1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2"/>
      <c r="M180" s="2"/>
      <c r="N180" s="2"/>
      <c r="O180" s="3"/>
      <c r="P180" s="3"/>
      <c r="Q180" s="2"/>
    </row>
    <row r="181" spans="1:1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2"/>
      <c r="M181" s="2"/>
      <c r="N181" s="2"/>
      <c r="O181" s="3"/>
      <c r="P181" s="3"/>
      <c r="Q181" s="2"/>
    </row>
    <row r="182" spans="1:1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2"/>
      <c r="M182" s="2"/>
      <c r="N182" s="2"/>
      <c r="O182" s="3"/>
      <c r="P182" s="3"/>
      <c r="Q182" s="2"/>
    </row>
    <row r="183" spans="1:1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2"/>
      <c r="M183" s="2"/>
      <c r="N183" s="2"/>
      <c r="O183" s="3"/>
      <c r="P183" s="3"/>
      <c r="Q183" s="2"/>
    </row>
    <row r="184" spans="1:1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2"/>
      <c r="M184" s="2"/>
      <c r="N184" s="2"/>
      <c r="O184" s="3"/>
      <c r="P184" s="3"/>
      <c r="Q184" s="2"/>
    </row>
    <row r="185" spans="1:1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2"/>
      <c r="M185" s="2"/>
      <c r="N185" s="2"/>
      <c r="O185" s="3"/>
      <c r="P185" s="3"/>
      <c r="Q185" s="2"/>
    </row>
    <row r="186" spans="1:1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2"/>
      <c r="M186" s="2"/>
      <c r="N186" s="2"/>
      <c r="O186" s="3"/>
      <c r="P186" s="3"/>
      <c r="Q186" s="2"/>
    </row>
    <row r="187" spans="1:1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2"/>
      <c r="M187" s="2"/>
      <c r="N187" s="2"/>
      <c r="O187" s="3"/>
      <c r="P187" s="3"/>
      <c r="Q187" s="2"/>
    </row>
    <row r="188" spans="1:1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2"/>
      <c r="M188" s="2"/>
      <c r="N188" s="2"/>
      <c r="O188" s="3"/>
      <c r="P188" s="3"/>
      <c r="Q188" s="2"/>
    </row>
    <row r="189" spans="1:1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2"/>
      <c r="M189" s="2"/>
      <c r="N189" s="2"/>
      <c r="O189" s="3"/>
      <c r="P189" s="3"/>
      <c r="Q189" s="2"/>
    </row>
    <row r="190" spans="1:1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2"/>
      <c r="M190" s="2"/>
      <c r="N190" s="2"/>
      <c r="O190" s="3"/>
      <c r="P190" s="3"/>
      <c r="Q190" s="2"/>
    </row>
    <row r="191" spans="1:1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2"/>
      <c r="M191" s="2"/>
      <c r="N191" s="2"/>
      <c r="O191" s="3"/>
      <c r="P191" s="3"/>
      <c r="Q191" s="2"/>
    </row>
    <row r="192" spans="1:1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2"/>
      <c r="M192" s="2"/>
      <c r="N192" s="2"/>
      <c r="O192" s="3"/>
      <c r="P192" s="3"/>
      <c r="Q192" s="2"/>
    </row>
    <row r="193" spans="1:1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2"/>
      <c r="M193" s="2"/>
      <c r="N193" s="2"/>
      <c r="O193" s="3"/>
      <c r="P193" s="3"/>
      <c r="Q193" s="2"/>
    </row>
    <row r="194" spans="1:1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2"/>
      <c r="M194" s="2"/>
      <c r="N194" s="2"/>
      <c r="O194" s="3"/>
      <c r="P194" s="3"/>
      <c r="Q194" s="2"/>
    </row>
    <row r="195" spans="1:1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2"/>
      <c r="M195" s="2"/>
      <c r="N195" s="2"/>
      <c r="O195" s="3"/>
      <c r="P195" s="3"/>
      <c r="Q195" s="2"/>
    </row>
    <row r="196" spans="1:1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2"/>
      <c r="M196" s="2"/>
      <c r="N196" s="2"/>
      <c r="O196" s="3"/>
      <c r="P196" s="3"/>
      <c r="Q196" s="2"/>
    </row>
    <row r="197" spans="1:1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2"/>
      <c r="M197" s="2"/>
      <c r="N197" s="2"/>
      <c r="O197" s="3"/>
      <c r="P197" s="3"/>
      <c r="Q197" s="2"/>
    </row>
    <row r="198" spans="1:1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2"/>
      <c r="M198" s="2"/>
      <c r="N198" s="2"/>
      <c r="O198" s="3"/>
      <c r="P198" s="3"/>
      <c r="Q198" s="2"/>
    </row>
    <row r="199" spans="1:1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2"/>
      <c r="M199" s="2"/>
      <c r="N199" s="2"/>
      <c r="O199" s="3"/>
      <c r="P199" s="3"/>
      <c r="Q199" s="2"/>
    </row>
    <row r="200" spans="1:1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2"/>
      <c r="M200" s="2"/>
      <c r="N200" s="2"/>
      <c r="O200" s="3"/>
      <c r="P200" s="3"/>
      <c r="Q200" s="2"/>
    </row>
    <row r="201" spans="1:1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2"/>
      <c r="M201" s="2"/>
      <c r="N201" s="2"/>
      <c r="O201" s="3"/>
      <c r="P201" s="3"/>
      <c r="Q201" s="2"/>
    </row>
    <row r="202" spans="1:1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2"/>
      <c r="M202" s="2"/>
      <c r="N202" s="2"/>
      <c r="O202" s="3"/>
      <c r="P202" s="3"/>
      <c r="Q202" s="2"/>
    </row>
    <row r="203" spans="1:1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2"/>
      <c r="M203" s="2"/>
      <c r="N203" s="2"/>
      <c r="O203" s="3"/>
      <c r="P203" s="3"/>
      <c r="Q203" s="2"/>
    </row>
    <row r="204" spans="1:1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2"/>
      <c r="M204" s="2"/>
      <c r="N204" s="2"/>
      <c r="O204" s="3"/>
      <c r="P204" s="3"/>
      <c r="Q204" s="2"/>
    </row>
    <row r="205" spans="1:1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2"/>
      <c r="M205" s="2"/>
      <c r="N205" s="2"/>
      <c r="O205" s="3"/>
      <c r="P205" s="3"/>
      <c r="Q205" s="2"/>
    </row>
    <row r="206" spans="1:1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2"/>
      <c r="M206" s="2"/>
      <c r="N206" s="2"/>
      <c r="O206" s="3"/>
      <c r="P206" s="3"/>
      <c r="Q206" s="2"/>
    </row>
    <row r="207" spans="1:1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2"/>
      <c r="M207" s="2"/>
      <c r="N207" s="2"/>
      <c r="O207" s="3"/>
      <c r="P207" s="3"/>
      <c r="Q207" s="2"/>
    </row>
    <row r="208" spans="1:1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2"/>
      <c r="M208" s="2"/>
      <c r="N208" s="2"/>
      <c r="O208" s="3"/>
      <c r="P208" s="3"/>
      <c r="Q208" s="2"/>
    </row>
    <row r="209" spans="1:1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2"/>
      <c r="M209" s="2"/>
      <c r="N209" s="2"/>
      <c r="O209" s="3"/>
      <c r="P209" s="3"/>
      <c r="Q209" s="2"/>
    </row>
    <row r="210" spans="1:1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2"/>
      <c r="M210" s="2"/>
      <c r="N210" s="2"/>
      <c r="O210" s="3"/>
      <c r="P210" s="3"/>
      <c r="Q210" s="2"/>
    </row>
    <row r="211" spans="1:1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2"/>
      <c r="M211" s="2"/>
      <c r="N211" s="2"/>
      <c r="O211" s="3"/>
      <c r="P211" s="3"/>
      <c r="Q211" s="2"/>
    </row>
    <row r="212" spans="1:1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2"/>
      <c r="M212" s="2"/>
      <c r="N212" s="2"/>
      <c r="O212" s="3"/>
      <c r="P212" s="3"/>
      <c r="Q212" s="2"/>
    </row>
    <row r="213" spans="1:1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2"/>
      <c r="M213" s="2"/>
      <c r="N213" s="2"/>
      <c r="O213" s="3"/>
      <c r="P213" s="3"/>
      <c r="Q213" s="2"/>
    </row>
    <row r="214" spans="1:1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2"/>
      <c r="M214" s="2"/>
      <c r="N214" s="2"/>
      <c r="O214" s="3"/>
      <c r="P214" s="3"/>
      <c r="Q214" s="2"/>
    </row>
    <row r="215" spans="1:1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2"/>
      <c r="M215" s="2"/>
      <c r="N215" s="2"/>
      <c r="O215" s="3"/>
      <c r="P215" s="3"/>
      <c r="Q215" s="2"/>
    </row>
    <row r="216" spans="1:1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2"/>
      <c r="M216" s="2"/>
      <c r="N216" s="2"/>
      <c r="O216" s="3"/>
      <c r="P216" s="3"/>
      <c r="Q216" s="2"/>
    </row>
    <row r="217" spans="1:1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2"/>
      <c r="M217" s="2"/>
      <c r="N217" s="2"/>
      <c r="O217" s="3"/>
      <c r="P217" s="3"/>
      <c r="Q217" s="2"/>
    </row>
    <row r="218" spans="1:1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2"/>
      <c r="M218" s="2"/>
      <c r="N218" s="2"/>
      <c r="O218" s="3"/>
      <c r="P218" s="3"/>
      <c r="Q218" s="2"/>
    </row>
    <row r="219" spans="1:1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2"/>
      <c r="M219" s="2"/>
      <c r="N219" s="2"/>
      <c r="O219" s="3"/>
      <c r="P219" s="3"/>
      <c r="Q219" s="2"/>
    </row>
    <row r="220" spans="1:1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2"/>
      <c r="M220" s="2"/>
      <c r="N220" s="2"/>
      <c r="O220" s="3"/>
      <c r="P220" s="3"/>
      <c r="Q220" s="2"/>
    </row>
    <row r="221" spans="1:1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2"/>
      <c r="M221" s="2"/>
      <c r="N221" s="2"/>
      <c r="O221" s="3"/>
      <c r="P221" s="3"/>
      <c r="Q221" s="2"/>
    </row>
    <row r="222" spans="1:1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2"/>
      <c r="M222" s="2"/>
      <c r="N222" s="2"/>
      <c r="O222" s="3"/>
      <c r="P222" s="3"/>
      <c r="Q222" s="2"/>
    </row>
    <row r="223" spans="1:1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2"/>
      <c r="M223" s="2"/>
      <c r="N223" s="2"/>
      <c r="O223" s="3"/>
      <c r="P223" s="3"/>
      <c r="Q223" s="2"/>
    </row>
    <row r="224" spans="1:1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2"/>
      <c r="M224" s="2"/>
      <c r="N224" s="2"/>
      <c r="O224" s="3"/>
      <c r="P224" s="3"/>
      <c r="Q224" s="2"/>
    </row>
    <row r="225" spans="1:1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2"/>
      <c r="M225" s="2"/>
      <c r="N225" s="2"/>
      <c r="O225" s="3"/>
      <c r="P225" s="3"/>
      <c r="Q225" s="2"/>
    </row>
    <row r="226" spans="1:1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2"/>
      <c r="M226" s="2"/>
      <c r="N226" s="2"/>
      <c r="O226" s="3"/>
      <c r="P226" s="3"/>
      <c r="Q226" s="2"/>
    </row>
    <row r="227" spans="1:1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2"/>
      <c r="M227" s="2"/>
      <c r="N227" s="2"/>
      <c r="O227" s="3"/>
      <c r="P227" s="3"/>
      <c r="Q227" s="2"/>
    </row>
    <row r="228" spans="1:1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2"/>
      <c r="M228" s="2"/>
      <c r="N228" s="2"/>
      <c r="O228" s="3"/>
      <c r="P228" s="3"/>
      <c r="Q228" s="2"/>
    </row>
    <row r="229" spans="1:1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2"/>
      <c r="M229" s="2"/>
      <c r="N229" s="2"/>
      <c r="O229" s="3"/>
      <c r="P229" s="3"/>
      <c r="Q229" s="2"/>
    </row>
    <row r="230" spans="1:1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2"/>
      <c r="M230" s="2"/>
      <c r="N230" s="2"/>
      <c r="O230" s="3"/>
      <c r="P230" s="3"/>
      <c r="Q230" s="2"/>
    </row>
    <row r="231" spans="1:1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2"/>
      <c r="M231" s="2"/>
      <c r="N231" s="2"/>
      <c r="O231" s="3"/>
      <c r="P231" s="3"/>
      <c r="Q231" s="2"/>
    </row>
    <row r="232" spans="1:1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2"/>
      <c r="M232" s="2"/>
      <c r="N232" s="2"/>
      <c r="O232" s="3"/>
      <c r="P232" s="3"/>
      <c r="Q232" s="2"/>
    </row>
    <row r="233" spans="1:1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2"/>
      <c r="M233" s="2"/>
      <c r="N233" s="2"/>
      <c r="O233" s="3"/>
      <c r="P233" s="3"/>
      <c r="Q233" s="2"/>
    </row>
    <row r="234" spans="1:1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2"/>
      <c r="M234" s="2"/>
      <c r="N234" s="2"/>
      <c r="O234" s="3"/>
      <c r="P234" s="3"/>
      <c r="Q234" s="2"/>
    </row>
    <row r="235" spans="1:1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2"/>
      <c r="M235" s="2"/>
      <c r="N235" s="2"/>
      <c r="O235" s="3"/>
      <c r="P235" s="3"/>
      <c r="Q235" s="2"/>
    </row>
    <row r="236" spans="1:1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2"/>
      <c r="M236" s="2"/>
      <c r="N236" s="2"/>
      <c r="O236" s="3"/>
      <c r="P236" s="3"/>
      <c r="Q236" s="2"/>
    </row>
    <row r="237" spans="1:1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2"/>
      <c r="M237" s="2"/>
      <c r="N237" s="2"/>
      <c r="O237" s="3"/>
      <c r="P237" s="3"/>
      <c r="Q237" s="2"/>
    </row>
    <row r="238" spans="1:1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2"/>
      <c r="M238" s="2"/>
      <c r="N238" s="2"/>
      <c r="O238" s="3"/>
      <c r="P238" s="3"/>
      <c r="Q238" s="2"/>
    </row>
    <row r="239" spans="1:1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2"/>
      <c r="M239" s="2"/>
      <c r="N239" s="2"/>
      <c r="O239" s="3"/>
      <c r="P239" s="3"/>
      <c r="Q239" s="2"/>
    </row>
    <row r="240" spans="1:1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2"/>
      <c r="M240" s="2"/>
      <c r="N240" s="2"/>
      <c r="O240" s="3"/>
      <c r="P240" s="3"/>
      <c r="Q240" s="2"/>
    </row>
    <row r="241" spans="1:1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2"/>
      <c r="M241" s="2"/>
      <c r="N241" s="2"/>
      <c r="O241" s="3"/>
      <c r="P241" s="3"/>
      <c r="Q241" s="2"/>
    </row>
    <row r="242" spans="1:1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2"/>
      <c r="M242" s="2"/>
      <c r="N242" s="2"/>
      <c r="O242" s="3"/>
      <c r="P242" s="3"/>
      <c r="Q242" s="2"/>
    </row>
    <row r="243" spans="1:1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2"/>
      <c r="M243" s="2"/>
      <c r="N243" s="2"/>
      <c r="O243" s="3"/>
      <c r="P243" s="3"/>
      <c r="Q243" s="2"/>
    </row>
    <row r="244" spans="1:1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2"/>
      <c r="M244" s="2"/>
      <c r="N244" s="2"/>
      <c r="O244" s="3"/>
      <c r="P244" s="3"/>
      <c r="Q244" s="2"/>
    </row>
    <row r="245" spans="1:1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2"/>
      <c r="M245" s="2"/>
      <c r="N245" s="2"/>
      <c r="O245" s="3"/>
      <c r="P245" s="3"/>
      <c r="Q245" s="2"/>
    </row>
    <row r="246" spans="1:1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2"/>
      <c r="M246" s="2"/>
      <c r="N246" s="2"/>
      <c r="O246" s="3"/>
      <c r="P246" s="3"/>
      <c r="Q246" s="2"/>
    </row>
    <row r="247" spans="1:1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2"/>
      <c r="M247" s="2"/>
      <c r="N247" s="2"/>
      <c r="O247" s="3"/>
      <c r="P247" s="3"/>
      <c r="Q247" s="2"/>
    </row>
    <row r="248" spans="1:1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2"/>
      <c r="M248" s="2"/>
      <c r="N248" s="2"/>
      <c r="O248" s="3"/>
      <c r="P248" s="3"/>
      <c r="Q248" s="2"/>
    </row>
    <row r="249" spans="1:1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2"/>
      <c r="M249" s="2"/>
      <c r="N249" s="2"/>
      <c r="O249" s="3"/>
      <c r="P249" s="3"/>
      <c r="Q249" s="2"/>
    </row>
    <row r="250" spans="1:1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2"/>
      <c r="M250" s="2"/>
      <c r="N250" s="2"/>
      <c r="O250" s="3"/>
      <c r="P250" s="3"/>
      <c r="Q250" s="2"/>
    </row>
    <row r="251" spans="1:1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2"/>
      <c r="M251" s="2"/>
      <c r="N251" s="2"/>
      <c r="O251" s="3"/>
      <c r="P251" s="3"/>
      <c r="Q251" s="2"/>
    </row>
    <row r="252" spans="1:1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2"/>
      <c r="M252" s="2"/>
      <c r="N252" s="2"/>
      <c r="O252" s="3"/>
      <c r="P252" s="3"/>
      <c r="Q252" s="2"/>
    </row>
    <row r="253" spans="1:1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2"/>
      <c r="M253" s="2"/>
      <c r="N253" s="2"/>
      <c r="O253" s="3"/>
      <c r="P253" s="3"/>
      <c r="Q253" s="2"/>
    </row>
    <row r="254" spans="1:1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2"/>
      <c r="M254" s="2"/>
      <c r="N254" s="2"/>
      <c r="O254" s="3"/>
      <c r="P254" s="3"/>
      <c r="Q254" s="2"/>
    </row>
    <row r="255" spans="1:1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2"/>
      <c r="M255" s="2"/>
      <c r="N255" s="2"/>
      <c r="O255" s="3"/>
      <c r="P255" s="3"/>
      <c r="Q255" s="2"/>
    </row>
    <row r="256" spans="1:1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2"/>
      <c r="M256" s="2"/>
      <c r="N256" s="2"/>
      <c r="O256" s="3"/>
      <c r="P256" s="3"/>
      <c r="Q256" s="2"/>
    </row>
    <row r="257" spans="1:1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2"/>
      <c r="M257" s="2"/>
      <c r="N257" s="2"/>
      <c r="O257" s="3"/>
      <c r="P257" s="3"/>
      <c r="Q257" s="2"/>
    </row>
    <row r="258" spans="1:1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2"/>
      <c r="M258" s="2"/>
      <c r="N258" s="2"/>
      <c r="O258" s="3"/>
      <c r="P258" s="3"/>
      <c r="Q258" s="2"/>
    </row>
    <row r="259" spans="1:1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2"/>
      <c r="M259" s="2"/>
      <c r="N259" s="2"/>
      <c r="O259" s="3"/>
      <c r="P259" s="3"/>
      <c r="Q259" s="2"/>
    </row>
    <row r="260" spans="1:1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2"/>
      <c r="M260" s="2"/>
      <c r="N260" s="2"/>
      <c r="O260" s="3"/>
      <c r="P260" s="3"/>
      <c r="Q260" s="2"/>
    </row>
    <row r="261" spans="1:1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2"/>
      <c r="M261" s="2"/>
      <c r="N261" s="2"/>
      <c r="O261" s="3"/>
      <c r="P261" s="3"/>
      <c r="Q261" s="2"/>
    </row>
    <row r="262" spans="1:1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2"/>
      <c r="M262" s="2"/>
      <c r="N262" s="2"/>
      <c r="O262" s="3"/>
      <c r="P262" s="3"/>
      <c r="Q262" s="2"/>
    </row>
    <row r="263" spans="1:1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2"/>
      <c r="M263" s="2"/>
      <c r="N263" s="2"/>
      <c r="O263" s="3"/>
      <c r="P263" s="3"/>
      <c r="Q263" s="2"/>
    </row>
    <row r="264" spans="1:1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2"/>
      <c r="M264" s="2"/>
      <c r="N264" s="2"/>
      <c r="O264" s="3"/>
      <c r="P264" s="3"/>
      <c r="Q264" s="2"/>
    </row>
    <row r="265" spans="1:1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2"/>
      <c r="M265" s="2"/>
      <c r="N265" s="2"/>
      <c r="O265" s="3"/>
      <c r="P265" s="3"/>
      <c r="Q265" s="2"/>
    </row>
    <row r="266" spans="1:1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2"/>
      <c r="M266" s="2"/>
      <c r="N266" s="2"/>
      <c r="O266" s="3"/>
      <c r="P266" s="3"/>
      <c r="Q266" s="2"/>
    </row>
    <row r="267" spans="1:1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2"/>
      <c r="M267" s="2"/>
      <c r="N267" s="2"/>
      <c r="O267" s="3"/>
      <c r="P267" s="3"/>
      <c r="Q267" s="2"/>
    </row>
    <row r="268" spans="1:1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2"/>
      <c r="M268" s="2"/>
      <c r="N268" s="2"/>
      <c r="O268" s="3"/>
      <c r="P268" s="3"/>
      <c r="Q268" s="2"/>
    </row>
    <row r="269" spans="1:1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2"/>
      <c r="M269" s="2"/>
      <c r="N269" s="2"/>
      <c r="O269" s="3"/>
      <c r="P269" s="3"/>
      <c r="Q269" s="2"/>
    </row>
    <row r="270" spans="1:1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2"/>
      <c r="M270" s="2"/>
      <c r="N270" s="2"/>
      <c r="O270" s="3"/>
      <c r="P270" s="3"/>
      <c r="Q270" s="2"/>
    </row>
    <row r="271" spans="1:1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2"/>
      <c r="M271" s="2"/>
      <c r="N271" s="2"/>
      <c r="O271" s="3"/>
      <c r="P271" s="3"/>
      <c r="Q271" s="2"/>
    </row>
    <row r="272" spans="1:1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2"/>
      <c r="M272" s="2"/>
      <c r="N272" s="2"/>
      <c r="O272" s="3"/>
      <c r="P272" s="3"/>
      <c r="Q272" s="2"/>
    </row>
    <row r="273" spans="1:1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2"/>
      <c r="M273" s="2"/>
      <c r="N273" s="2"/>
      <c r="O273" s="3"/>
      <c r="P273" s="3"/>
      <c r="Q273" s="2"/>
    </row>
    <row r="274" spans="1:1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2"/>
      <c r="M274" s="2"/>
      <c r="N274" s="2"/>
      <c r="O274" s="3"/>
      <c r="P274" s="3"/>
      <c r="Q274" s="2"/>
    </row>
    <row r="275" spans="1:1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2"/>
      <c r="M275" s="2"/>
      <c r="N275" s="2"/>
      <c r="O275" s="3"/>
      <c r="P275" s="3"/>
      <c r="Q275" s="2"/>
    </row>
    <row r="276" spans="1:1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2"/>
      <c r="M276" s="2"/>
      <c r="N276" s="2"/>
      <c r="O276" s="3"/>
      <c r="P276" s="3"/>
      <c r="Q276" s="2"/>
    </row>
    <row r="277" spans="1:1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2"/>
      <c r="M277" s="2"/>
      <c r="N277" s="2"/>
      <c r="O277" s="3"/>
      <c r="P277" s="3"/>
      <c r="Q277" s="2"/>
    </row>
    <row r="278" spans="1:1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2"/>
      <c r="M278" s="2"/>
      <c r="N278" s="2"/>
      <c r="O278" s="3"/>
      <c r="P278" s="3"/>
      <c r="Q278" s="2"/>
    </row>
    <row r="279" spans="1:1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2"/>
      <c r="M279" s="2"/>
      <c r="N279" s="2"/>
      <c r="O279" s="3"/>
      <c r="P279" s="3"/>
      <c r="Q279" s="2"/>
    </row>
    <row r="280" spans="1:1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2"/>
      <c r="M280" s="2"/>
      <c r="N280" s="2"/>
      <c r="O280" s="3"/>
      <c r="P280" s="3"/>
      <c r="Q280" s="2"/>
    </row>
    <row r="281" spans="1:1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2"/>
      <c r="M281" s="2"/>
      <c r="N281" s="2"/>
      <c r="O281" s="3"/>
      <c r="P281" s="3"/>
      <c r="Q281" s="2"/>
    </row>
    <row r="282" spans="1:1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2"/>
      <c r="M282" s="2"/>
      <c r="N282" s="2"/>
      <c r="O282" s="3"/>
      <c r="P282" s="3"/>
      <c r="Q282" s="2"/>
    </row>
    <row r="283" spans="1:1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2"/>
      <c r="M283" s="2"/>
      <c r="N283" s="2"/>
      <c r="O283" s="3"/>
      <c r="P283" s="3"/>
      <c r="Q283" s="2"/>
    </row>
    <row r="284" spans="1:1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2"/>
      <c r="M284" s="2"/>
      <c r="N284" s="2"/>
      <c r="O284" s="3"/>
      <c r="P284" s="3"/>
      <c r="Q284" s="2"/>
    </row>
    <row r="285" spans="1:1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2"/>
      <c r="M285" s="2"/>
      <c r="N285" s="2"/>
      <c r="O285" s="3"/>
      <c r="P285" s="3"/>
      <c r="Q285" s="2"/>
    </row>
    <row r="286" spans="1:1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2"/>
      <c r="M286" s="2"/>
      <c r="N286" s="2"/>
      <c r="O286" s="3"/>
      <c r="P286" s="3"/>
      <c r="Q286" s="2"/>
    </row>
    <row r="287" spans="1:1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2"/>
      <c r="M287" s="2"/>
      <c r="N287" s="2"/>
      <c r="O287" s="3"/>
      <c r="P287" s="3"/>
      <c r="Q287" s="2"/>
    </row>
    <row r="288" spans="1:1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2"/>
      <c r="M288" s="2"/>
      <c r="N288" s="2"/>
      <c r="O288" s="3"/>
      <c r="P288" s="3"/>
      <c r="Q288" s="2"/>
    </row>
    <row r="289" spans="1:1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2"/>
      <c r="M289" s="2"/>
      <c r="N289" s="2"/>
      <c r="O289" s="3"/>
      <c r="P289" s="3"/>
      <c r="Q289" s="2"/>
    </row>
    <row r="290" spans="1:1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2"/>
      <c r="M290" s="2"/>
      <c r="N290" s="2"/>
      <c r="O290" s="3"/>
      <c r="P290" s="3"/>
      <c r="Q290" s="2"/>
    </row>
    <row r="291" spans="1:1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2"/>
      <c r="M291" s="2"/>
      <c r="N291" s="2"/>
      <c r="O291" s="3"/>
      <c r="P291" s="3"/>
      <c r="Q291" s="2"/>
    </row>
    <row r="292" spans="1:1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2"/>
      <c r="M292" s="2"/>
      <c r="N292" s="2"/>
      <c r="O292" s="3"/>
      <c r="P292" s="3"/>
      <c r="Q292" s="2"/>
    </row>
    <row r="293" spans="1:1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2"/>
      <c r="M293" s="2"/>
      <c r="N293" s="2"/>
      <c r="O293" s="3"/>
      <c r="P293" s="3"/>
      <c r="Q293" s="2"/>
    </row>
    <row r="294" spans="1:1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2"/>
      <c r="M294" s="2"/>
      <c r="N294" s="2"/>
      <c r="O294" s="3"/>
      <c r="P294" s="3"/>
      <c r="Q294" s="2"/>
    </row>
    <row r="295" spans="1:1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2"/>
      <c r="M295" s="2"/>
      <c r="N295" s="2"/>
      <c r="O295" s="3"/>
      <c r="P295" s="3"/>
      <c r="Q295" s="2"/>
    </row>
    <row r="296" spans="1:1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2"/>
      <c r="M296" s="2"/>
      <c r="N296" s="2"/>
      <c r="O296" s="3"/>
      <c r="P296" s="3"/>
      <c r="Q296" s="2"/>
    </row>
    <row r="297" spans="1:1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2"/>
      <c r="M297" s="2"/>
      <c r="N297" s="2"/>
      <c r="O297" s="3"/>
      <c r="P297" s="3"/>
      <c r="Q297" s="2"/>
    </row>
    <row r="298" spans="1:1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2"/>
      <c r="M298" s="2"/>
      <c r="N298" s="2"/>
      <c r="O298" s="3"/>
      <c r="P298" s="3"/>
      <c r="Q298" s="2"/>
    </row>
    <row r="299" spans="1:1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2"/>
      <c r="M299" s="2"/>
      <c r="N299" s="2"/>
      <c r="O299" s="3"/>
      <c r="P299" s="3"/>
      <c r="Q299" s="2"/>
    </row>
    <row r="300" spans="1:1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2"/>
      <c r="M300" s="2"/>
      <c r="N300" s="2"/>
      <c r="O300" s="3"/>
      <c r="P300" s="3"/>
      <c r="Q300" s="2"/>
    </row>
    <row r="301" spans="1:1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2"/>
      <c r="M301" s="2"/>
      <c r="N301" s="2"/>
      <c r="O301" s="3"/>
      <c r="P301" s="3"/>
      <c r="Q301" s="2"/>
    </row>
    <row r="302" spans="1:1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2"/>
      <c r="M302" s="2"/>
      <c r="N302" s="2"/>
      <c r="O302" s="3"/>
      <c r="P302" s="3"/>
      <c r="Q302" s="2"/>
    </row>
    <row r="303" spans="1:1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2"/>
      <c r="M303" s="2"/>
      <c r="N303" s="2"/>
      <c r="O303" s="3"/>
      <c r="P303" s="3"/>
      <c r="Q303" s="2"/>
    </row>
    <row r="304" spans="1:1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2"/>
      <c r="M304" s="2"/>
      <c r="N304" s="2"/>
      <c r="O304" s="3"/>
      <c r="P304" s="3"/>
      <c r="Q304" s="2"/>
    </row>
    <row r="305" spans="1:1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2"/>
      <c r="M305" s="2"/>
      <c r="N305" s="2"/>
      <c r="O305" s="3"/>
      <c r="P305" s="3"/>
      <c r="Q305" s="2"/>
    </row>
    <row r="306" spans="1:1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2"/>
      <c r="M306" s="2"/>
      <c r="N306" s="2"/>
      <c r="O306" s="3"/>
      <c r="P306" s="3"/>
      <c r="Q306" s="2"/>
    </row>
    <row r="307" spans="1:1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2"/>
      <c r="M307" s="2"/>
      <c r="N307" s="2"/>
      <c r="O307" s="3"/>
      <c r="P307" s="3"/>
      <c r="Q307" s="2"/>
    </row>
    <row r="308" spans="1:1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2"/>
      <c r="M308" s="2"/>
      <c r="N308" s="2"/>
      <c r="O308" s="3"/>
      <c r="P308" s="3"/>
      <c r="Q308" s="2"/>
    </row>
    <row r="309" spans="1:1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2"/>
      <c r="M309" s="2"/>
      <c r="N309" s="2"/>
      <c r="O309" s="3"/>
      <c r="P309" s="3"/>
      <c r="Q309" s="2"/>
    </row>
    <row r="310" spans="1:1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2"/>
      <c r="M310" s="2"/>
      <c r="N310" s="2"/>
      <c r="O310" s="3"/>
      <c r="P310" s="3"/>
      <c r="Q310" s="2"/>
    </row>
    <row r="311" spans="1:1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2"/>
      <c r="M311" s="2"/>
      <c r="N311" s="2"/>
      <c r="O311" s="3"/>
      <c r="P311" s="3"/>
      <c r="Q311" s="2"/>
    </row>
    <row r="312" spans="1:1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2"/>
      <c r="M312" s="2"/>
      <c r="N312" s="2"/>
      <c r="O312" s="3"/>
      <c r="P312" s="3"/>
      <c r="Q312" s="2"/>
    </row>
    <row r="313" spans="1:1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2"/>
      <c r="M313" s="2"/>
      <c r="N313" s="2"/>
      <c r="O313" s="3"/>
      <c r="P313" s="3"/>
      <c r="Q313" s="2"/>
    </row>
    <row r="314" spans="1:1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2"/>
      <c r="M314" s="2"/>
      <c r="N314" s="2"/>
      <c r="O314" s="3"/>
      <c r="P314" s="3"/>
      <c r="Q314" s="2"/>
    </row>
    <row r="315" spans="1:1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2"/>
      <c r="M315" s="2"/>
      <c r="N315" s="2"/>
      <c r="O315" s="3"/>
      <c r="P315" s="3"/>
      <c r="Q315" s="2"/>
    </row>
    <row r="316" spans="1:1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2"/>
      <c r="M316" s="2"/>
      <c r="N316" s="2"/>
      <c r="O316" s="3"/>
      <c r="P316" s="3"/>
      <c r="Q316" s="2"/>
    </row>
    <row r="317" spans="1:1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2"/>
      <c r="M317" s="2"/>
      <c r="N317" s="2"/>
      <c r="O317" s="3"/>
      <c r="P317" s="3"/>
      <c r="Q317" s="2"/>
    </row>
    <row r="318" spans="1:1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2"/>
      <c r="M318" s="2"/>
      <c r="N318" s="2"/>
      <c r="O318" s="3"/>
      <c r="P318" s="3"/>
      <c r="Q318" s="2"/>
    </row>
    <row r="319" spans="1:1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2"/>
      <c r="M319" s="2"/>
      <c r="N319" s="2"/>
      <c r="O319" s="3"/>
      <c r="P319" s="3"/>
      <c r="Q319" s="2"/>
    </row>
    <row r="320" spans="1:1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2"/>
      <c r="M320" s="2"/>
      <c r="N320" s="2"/>
      <c r="O320" s="3"/>
      <c r="P320" s="3"/>
      <c r="Q320" s="2"/>
    </row>
    <row r="321" spans="1:1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2"/>
      <c r="M321" s="2"/>
      <c r="N321" s="2"/>
      <c r="O321" s="3"/>
      <c r="P321" s="3"/>
      <c r="Q321" s="2"/>
    </row>
    <row r="322" spans="1:1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2"/>
      <c r="M322" s="2"/>
      <c r="N322" s="2"/>
      <c r="O322" s="3"/>
      <c r="P322" s="3"/>
      <c r="Q322" s="2"/>
    </row>
    <row r="323" spans="1:1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2"/>
      <c r="M323" s="2"/>
      <c r="N323" s="2"/>
      <c r="O323" s="3"/>
      <c r="P323" s="3"/>
      <c r="Q323" s="2"/>
    </row>
    <row r="324" spans="1:1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2"/>
      <c r="M324" s="2"/>
      <c r="N324" s="2"/>
      <c r="O324" s="3"/>
      <c r="P324" s="3"/>
      <c r="Q324" s="2"/>
    </row>
    <row r="325" spans="1:1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2"/>
      <c r="M325" s="2"/>
      <c r="N325" s="2"/>
      <c r="O325" s="3"/>
      <c r="P325" s="3"/>
      <c r="Q325" s="2"/>
    </row>
    <row r="326" spans="1:1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2"/>
      <c r="M326" s="2"/>
      <c r="N326" s="2"/>
      <c r="O326" s="3"/>
      <c r="P326" s="3"/>
      <c r="Q326" s="2"/>
    </row>
    <row r="327" spans="1:1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2"/>
      <c r="M327" s="2"/>
      <c r="N327" s="2"/>
      <c r="O327" s="3"/>
      <c r="P327" s="3"/>
      <c r="Q327" s="2"/>
    </row>
    <row r="328" spans="1:1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2"/>
      <c r="M328" s="2"/>
      <c r="N328" s="2"/>
      <c r="O328" s="3"/>
      <c r="P328" s="3"/>
      <c r="Q328" s="2"/>
    </row>
    <row r="329" spans="1:1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2"/>
      <c r="M329" s="2"/>
      <c r="N329" s="2"/>
      <c r="O329" s="3"/>
      <c r="P329" s="3"/>
      <c r="Q329" s="2"/>
    </row>
    <row r="330" spans="1:1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2"/>
      <c r="M330" s="2"/>
      <c r="N330" s="2"/>
      <c r="O330" s="3"/>
      <c r="P330" s="3"/>
      <c r="Q330" s="2"/>
    </row>
    <row r="331" spans="1:1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2"/>
      <c r="M331" s="2"/>
      <c r="N331" s="2"/>
      <c r="O331" s="3"/>
      <c r="P331" s="3"/>
      <c r="Q331" s="2"/>
    </row>
    <row r="332" spans="1:1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2"/>
      <c r="M332" s="2"/>
      <c r="N332" s="2"/>
      <c r="O332" s="3"/>
      <c r="P332" s="3"/>
      <c r="Q332" s="2"/>
    </row>
    <row r="333" spans="1:1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2"/>
      <c r="M333" s="2"/>
      <c r="N333" s="2"/>
      <c r="O333" s="3"/>
      <c r="P333" s="3"/>
      <c r="Q333" s="2"/>
    </row>
    <row r="334" spans="1:1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2"/>
      <c r="M334" s="2"/>
      <c r="N334" s="2"/>
      <c r="O334" s="3"/>
      <c r="P334" s="3"/>
      <c r="Q334" s="2"/>
    </row>
    <row r="335" spans="1:1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2"/>
      <c r="M335" s="2"/>
      <c r="N335" s="2"/>
      <c r="O335" s="3"/>
      <c r="P335" s="3"/>
      <c r="Q335" s="2"/>
    </row>
    <row r="336" spans="1:1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2"/>
      <c r="M336" s="2"/>
      <c r="N336" s="2"/>
      <c r="O336" s="3"/>
      <c r="P336" s="3"/>
      <c r="Q336" s="2"/>
    </row>
    <row r="337" spans="1:1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2"/>
      <c r="M337" s="2"/>
      <c r="N337" s="2"/>
      <c r="O337" s="3"/>
      <c r="P337" s="3"/>
      <c r="Q337" s="2"/>
    </row>
    <row r="338" spans="1:1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2"/>
      <c r="M338" s="2"/>
      <c r="N338" s="2"/>
      <c r="O338" s="3"/>
      <c r="P338" s="3"/>
      <c r="Q338" s="2"/>
    </row>
    <row r="339" spans="1:1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2"/>
      <c r="M339" s="2"/>
      <c r="N339" s="2"/>
      <c r="O339" s="3"/>
      <c r="P339" s="3"/>
      <c r="Q339" s="2"/>
    </row>
    <row r="340" spans="1:1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2"/>
      <c r="M340" s="2"/>
      <c r="N340" s="2"/>
      <c r="O340" s="3"/>
      <c r="P340" s="3"/>
      <c r="Q340" s="2"/>
    </row>
    <row r="341" spans="1:1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2"/>
      <c r="M341" s="2"/>
      <c r="N341" s="2"/>
      <c r="O341" s="3"/>
      <c r="P341" s="3"/>
      <c r="Q341" s="2"/>
    </row>
    <row r="342" spans="1:1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2"/>
      <c r="M342" s="2"/>
      <c r="N342" s="2"/>
      <c r="O342" s="3"/>
      <c r="P342" s="3"/>
      <c r="Q342" s="2"/>
    </row>
    <row r="343" spans="1:1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2"/>
      <c r="M343" s="2"/>
      <c r="N343" s="2"/>
      <c r="O343" s="3"/>
      <c r="P343" s="3"/>
      <c r="Q343" s="2"/>
    </row>
    <row r="344" spans="1:1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2"/>
      <c r="M344" s="2"/>
      <c r="N344" s="2"/>
      <c r="O344" s="3"/>
      <c r="P344" s="3"/>
      <c r="Q344" s="2"/>
    </row>
    <row r="345" spans="1:1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2"/>
      <c r="M345" s="2"/>
      <c r="N345" s="2"/>
      <c r="O345" s="3"/>
      <c r="P345" s="3"/>
      <c r="Q345" s="2"/>
    </row>
    <row r="346" spans="1:1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2"/>
      <c r="M346" s="2"/>
      <c r="N346" s="2"/>
      <c r="O346" s="3"/>
      <c r="P346" s="3"/>
      <c r="Q346" s="2"/>
    </row>
    <row r="347" spans="1:1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2"/>
      <c r="M347" s="2"/>
      <c r="N347" s="2"/>
      <c r="O347" s="3"/>
      <c r="P347" s="3"/>
      <c r="Q347" s="2"/>
    </row>
    <row r="348" spans="1:1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2"/>
      <c r="M348" s="2"/>
      <c r="N348" s="2"/>
      <c r="O348" s="3"/>
      <c r="P348" s="3"/>
      <c r="Q348" s="2"/>
    </row>
    <row r="349" spans="1:1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2"/>
      <c r="M349" s="2"/>
      <c r="N349" s="2"/>
      <c r="O349" s="3"/>
      <c r="P349" s="3"/>
      <c r="Q349" s="2"/>
    </row>
    <row r="350" spans="1:1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2"/>
      <c r="M350" s="2"/>
      <c r="N350" s="2"/>
      <c r="O350" s="3"/>
      <c r="P350" s="3"/>
      <c r="Q350" s="2"/>
    </row>
    <row r="351" spans="1:1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2"/>
      <c r="M351" s="2"/>
      <c r="N351" s="2"/>
      <c r="O351" s="3"/>
      <c r="P351" s="3"/>
      <c r="Q351" s="2"/>
    </row>
    <row r="352" spans="1:1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2"/>
      <c r="M352" s="2"/>
      <c r="N352" s="2"/>
      <c r="O352" s="3"/>
      <c r="P352" s="3"/>
      <c r="Q352" s="2"/>
    </row>
    <row r="353" spans="1:1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2"/>
      <c r="M353" s="2"/>
      <c r="N353" s="2"/>
      <c r="O353" s="3"/>
      <c r="P353" s="3"/>
      <c r="Q353" s="2"/>
    </row>
    <row r="354" spans="1:1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2"/>
      <c r="M354" s="2"/>
      <c r="N354" s="2"/>
      <c r="O354" s="3"/>
      <c r="P354" s="3"/>
      <c r="Q354" s="2"/>
    </row>
    <row r="355" spans="1:1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2"/>
      <c r="M355" s="2"/>
      <c r="N355" s="2"/>
      <c r="O355" s="3"/>
      <c r="P355" s="3"/>
      <c r="Q355" s="2"/>
    </row>
    <row r="356" spans="1:1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2"/>
      <c r="M356" s="2"/>
      <c r="N356" s="2"/>
      <c r="O356" s="3"/>
      <c r="P356" s="3"/>
      <c r="Q356" s="2"/>
    </row>
    <row r="357" spans="1:1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2"/>
      <c r="M357" s="2"/>
      <c r="N357" s="2"/>
      <c r="O357" s="3"/>
      <c r="P357" s="3"/>
      <c r="Q357" s="2"/>
    </row>
    <row r="358" spans="1:1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2"/>
      <c r="M358" s="2"/>
      <c r="N358" s="2"/>
      <c r="O358" s="3"/>
      <c r="P358" s="3"/>
      <c r="Q358" s="2"/>
    </row>
    <row r="359" spans="1:1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2"/>
      <c r="M359" s="2"/>
      <c r="N359" s="2"/>
      <c r="O359" s="3"/>
      <c r="P359" s="3"/>
      <c r="Q359" s="2"/>
    </row>
    <row r="360" spans="1:1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2"/>
      <c r="M360" s="2"/>
      <c r="N360" s="2"/>
      <c r="O360" s="3"/>
      <c r="P360" s="3"/>
      <c r="Q360" s="2"/>
    </row>
    <row r="361" spans="1:1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2"/>
      <c r="M361" s="2"/>
      <c r="N361" s="2"/>
      <c r="O361" s="3"/>
      <c r="P361" s="3"/>
      <c r="Q361" s="2"/>
    </row>
    <row r="362" spans="1:1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2"/>
      <c r="M362" s="2"/>
      <c r="N362" s="2"/>
      <c r="O362" s="3"/>
      <c r="P362" s="3"/>
      <c r="Q362" s="2"/>
    </row>
    <row r="363" spans="1:1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2"/>
      <c r="M363" s="2"/>
      <c r="N363" s="2"/>
      <c r="O363" s="3"/>
      <c r="P363" s="3"/>
      <c r="Q363" s="2"/>
    </row>
    <row r="364" spans="1:1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2"/>
      <c r="M364" s="2"/>
      <c r="N364" s="2"/>
      <c r="O364" s="3"/>
      <c r="P364" s="3"/>
      <c r="Q364" s="2"/>
    </row>
    <row r="365" spans="1:1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2"/>
      <c r="M365" s="2"/>
      <c r="N365" s="2"/>
      <c r="O365" s="3"/>
      <c r="P365" s="3"/>
      <c r="Q365" s="2"/>
    </row>
    <row r="366" spans="1:1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2"/>
      <c r="M366" s="2"/>
      <c r="N366" s="2"/>
      <c r="O366" s="3"/>
      <c r="P366" s="3"/>
      <c r="Q366" s="2"/>
    </row>
    <row r="367" spans="1:1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2"/>
      <c r="M367" s="2"/>
      <c r="N367" s="2"/>
      <c r="O367" s="3"/>
      <c r="P367" s="3"/>
      <c r="Q367" s="2"/>
    </row>
    <row r="368" spans="1:1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2"/>
      <c r="M368" s="2"/>
      <c r="N368" s="2"/>
      <c r="O368" s="3"/>
      <c r="P368" s="3"/>
      <c r="Q368" s="2"/>
    </row>
    <row r="369" spans="1:1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2"/>
      <c r="M369" s="2"/>
      <c r="N369" s="2"/>
      <c r="O369" s="3"/>
      <c r="P369" s="3"/>
      <c r="Q369" s="2"/>
    </row>
    <row r="370" spans="1:1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2"/>
      <c r="M370" s="2"/>
      <c r="N370" s="2"/>
      <c r="O370" s="3"/>
      <c r="P370" s="3"/>
      <c r="Q370" s="2"/>
    </row>
    <row r="371" spans="1:1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2"/>
      <c r="M371" s="2"/>
      <c r="N371" s="2"/>
      <c r="O371" s="3"/>
      <c r="P371" s="3"/>
      <c r="Q371" s="2"/>
    </row>
    <row r="372" spans="1:1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2"/>
      <c r="M372" s="2"/>
      <c r="N372" s="2"/>
      <c r="O372" s="3"/>
      <c r="P372" s="3"/>
      <c r="Q372" s="2"/>
    </row>
    <row r="373" spans="1:1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2"/>
      <c r="M373" s="2"/>
      <c r="N373" s="2"/>
      <c r="O373" s="3"/>
      <c r="P373" s="3"/>
      <c r="Q373" s="2"/>
    </row>
    <row r="374" spans="1:1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2"/>
      <c r="M374" s="2"/>
      <c r="N374" s="2"/>
      <c r="O374" s="3"/>
      <c r="P374" s="3"/>
      <c r="Q374" s="2"/>
    </row>
    <row r="375" spans="1:1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2"/>
      <c r="M375" s="2"/>
      <c r="N375" s="2"/>
      <c r="O375" s="3"/>
      <c r="P375" s="3"/>
      <c r="Q375" s="2"/>
    </row>
    <row r="376" spans="1:1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2"/>
      <c r="M376" s="2"/>
      <c r="N376" s="2"/>
      <c r="O376" s="3"/>
      <c r="P376" s="3"/>
      <c r="Q376" s="2"/>
    </row>
    <row r="377" spans="1:1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2"/>
      <c r="M377" s="2"/>
      <c r="N377" s="2"/>
      <c r="O377" s="3"/>
      <c r="P377" s="3"/>
      <c r="Q377" s="2"/>
    </row>
    <row r="378" spans="1:1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2"/>
      <c r="M378" s="2"/>
      <c r="N378" s="2"/>
      <c r="O378" s="3"/>
      <c r="P378" s="3"/>
      <c r="Q378" s="2"/>
    </row>
    <row r="379" spans="1:1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2"/>
      <c r="M379" s="2"/>
      <c r="N379" s="2"/>
      <c r="O379" s="3"/>
      <c r="P379" s="3"/>
      <c r="Q379" s="2"/>
    </row>
    <row r="380" spans="1:1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2"/>
      <c r="M380" s="2"/>
      <c r="N380" s="2"/>
      <c r="O380" s="3"/>
      <c r="P380" s="3"/>
      <c r="Q380" s="2"/>
    </row>
    <row r="381" spans="1:1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2"/>
      <c r="M381" s="2"/>
      <c r="N381" s="2"/>
      <c r="O381" s="3"/>
      <c r="P381" s="3"/>
      <c r="Q381" s="2"/>
    </row>
    <row r="382" spans="1:1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2"/>
      <c r="M382" s="2"/>
      <c r="N382" s="2"/>
      <c r="O382" s="3"/>
      <c r="P382" s="3"/>
      <c r="Q382" s="2"/>
    </row>
    <row r="383" spans="1:1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2"/>
      <c r="M383" s="2"/>
      <c r="N383" s="2"/>
      <c r="O383" s="3"/>
      <c r="P383" s="3"/>
      <c r="Q383" s="2"/>
    </row>
    <row r="384" spans="1:1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2"/>
      <c r="M384" s="2"/>
      <c r="N384" s="2"/>
      <c r="O384" s="3"/>
      <c r="P384" s="3"/>
      <c r="Q384" s="2"/>
    </row>
    <row r="385" spans="1:1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2"/>
      <c r="M385" s="2"/>
      <c r="N385" s="2"/>
      <c r="O385" s="3"/>
      <c r="P385" s="3"/>
      <c r="Q385" s="2"/>
    </row>
    <row r="386" spans="1:1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2"/>
      <c r="M386" s="2"/>
      <c r="N386" s="2"/>
      <c r="O386" s="3"/>
      <c r="P386" s="3"/>
      <c r="Q386" s="2"/>
    </row>
    <row r="387" spans="1:1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2"/>
      <c r="M387" s="2"/>
      <c r="N387" s="2"/>
      <c r="O387" s="3"/>
      <c r="P387" s="3"/>
      <c r="Q387" s="2"/>
    </row>
    <row r="388" spans="1:1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2"/>
      <c r="M388" s="2"/>
      <c r="N388" s="2"/>
      <c r="O388" s="3"/>
      <c r="P388" s="3"/>
      <c r="Q388" s="2"/>
    </row>
    <row r="389" spans="1:1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2"/>
      <c r="M389" s="2"/>
      <c r="N389" s="2"/>
      <c r="O389" s="3"/>
      <c r="P389" s="3"/>
      <c r="Q389" s="2"/>
    </row>
    <row r="390" spans="1:1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2"/>
      <c r="M390" s="2"/>
      <c r="N390" s="2"/>
      <c r="O390" s="3"/>
      <c r="P390" s="3"/>
      <c r="Q390" s="2"/>
    </row>
    <row r="391" spans="1:1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2"/>
      <c r="M391" s="2"/>
      <c r="N391" s="2"/>
      <c r="O391" s="3"/>
      <c r="P391" s="3"/>
      <c r="Q391" s="2"/>
    </row>
    <row r="392" spans="1:1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2"/>
      <c r="M392" s="2"/>
      <c r="N392" s="2"/>
      <c r="O392" s="3"/>
      <c r="P392" s="3"/>
      <c r="Q392" s="2"/>
    </row>
    <row r="393" spans="1:1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2"/>
      <c r="M393" s="2"/>
      <c r="N393" s="2"/>
      <c r="O393" s="3"/>
      <c r="P393" s="3"/>
      <c r="Q393" s="2"/>
    </row>
    <row r="394" spans="1:1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2"/>
      <c r="M394" s="2"/>
      <c r="N394" s="2"/>
      <c r="O394" s="3"/>
      <c r="P394" s="3"/>
      <c r="Q394" s="2"/>
    </row>
    <row r="395" spans="1:1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2"/>
      <c r="M395" s="2"/>
      <c r="N395" s="2"/>
      <c r="O395" s="3"/>
      <c r="P395" s="3"/>
      <c r="Q395" s="2"/>
    </row>
    <row r="396" spans="1:1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2"/>
      <c r="M396" s="2"/>
      <c r="N396" s="2"/>
      <c r="O396" s="3"/>
      <c r="P396" s="3"/>
      <c r="Q396" s="2"/>
    </row>
    <row r="397" spans="1:1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2"/>
      <c r="M397" s="2"/>
      <c r="N397" s="2"/>
      <c r="O397" s="3"/>
      <c r="P397" s="3"/>
      <c r="Q397" s="2"/>
    </row>
    <row r="398" spans="1:1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2"/>
      <c r="M398" s="2"/>
      <c r="N398" s="2"/>
      <c r="O398" s="3"/>
      <c r="P398" s="3"/>
      <c r="Q398" s="2"/>
    </row>
    <row r="399" spans="1:1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2"/>
      <c r="M399" s="2"/>
      <c r="N399" s="2"/>
      <c r="O399" s="3"/>
      <c r="P399" s="3"/>
      <c r="Q399" s="2"/>
    </row>
    <row r="400" spans="1:1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2"/>
      <c r="M400" s="2"/>
      <c r="N400" s="2"/>
      <c r="O400" s="3"/>
      <c r="P400" s="3"/>
      <c r="Q400" s="2"/>
    </row>
    <row r="401" spans="1:1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2"/>
      <c r="M401" s="2"/>
      <c r="N401" s="2"/>
      <c r="O401" s="3"/>
      <c r="P401" s="3"/>
      <c r="Q401" s="2"/>
    </row>
    <row r="402" spans="1:1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2"/>
      <c r="M402" s="2"/>
      <c r="N402" s="2"/>
      <c r="O402" s="3"/>
      <c r="P402" s="3"/>
      <c r="Q402" s="2"/>
    </row>
    <row r="403" spans="1:1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2"/>
      <c r="M403" s="2"/>
      <c r="N403" s="2"/>
      <c r="O403" s="3"/>
      <c r="P403" s="3"/>
      <c r="Q403" s="2"/>
    </row>
    <row r="404" spans="1:1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2"/>
      <c r="M404" s="2"/>
      <c r="N404" s="2"/>
      <c r="O404" s="3"/>
      <c r="P404" s="3"/>
      <c r="Q404" s="2"/>
    </row>
    <row r="405" spans="1:1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2"/>
      <c r="M405" s="2"/>
      <c r="N405" s="2"/>
      <c r="O405" s="3"/>
      <c r="P405" s="3"/>
      <c r="Q405" s="2"/>
    </row>
    <row r="406" spans="1:1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2"/>
      <c r="M406" s="2"/>
      <c r="N406" s="2"/>
      <c r="O406" s="3"/>
      <c r="P406" s="3"/>
      <c r="Q406" s="2"/>
    </row>
    <row r="407" spans="1:1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2"/>
      <c r="M407" s="2"/>
      <c r="N407" s="2"/>
      <c r="O407" s="3"/>
      <c r="P407" s="3"/>
      <c r="Q407" s="2"/>
    </row>
    <row r="408" spans="1:1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2"/>
      <c r="M408" s="2"/>
      <c r="N408" s="2"/>
      <c r="O408" s="3"/>
      <c r="P408" s="3"/>
      <c r="Q408" s="2"/>
    </row>
    <row r="409" spans="1:1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2"/>
      <c r="M409" s="2"/>
      <c r="N409" s="2"/>
      <c r="O409" s="3"/>
      <c r="P409" s="3"/>
      <c r="Q409" s="2"/>
    </row>
    <row r="410" spans="1:1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2"/>
      <c r="M410" s="2"/>
      <c r="N410" s="2"/>
      <c r="O410" s="3"/>
      <c r="P410" s="3"/>
      <c r="Q410" s="2"/>
    </row>
    <row r="411" spans="1:1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2"/>
      <c r="M411" s="2"/>
      <c r="N411" s="2"/>
      <c r="O411" s="3"/>
      <c r="P411" s="3"/>
      <c r="Q411" s="2"/>
    </row>
    <row r="412" spans="1:1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2"/>
      <c r="M412" s="2"/>
      <c r="N412" s="2"/>
      <c r="O412" s="3"/>
      <c r="P412" s="3"/>
      <c r="Q412" s="2"/>
    </row>
    <row r="413" spans="1:1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2"/>
      <c r="M413" s="2"/>
      <c r="N413" s="2"/>
      <c r="O413" s="3"/>
      <c r="P413" s="3"/>
      <c r="Q413" s="2"/>
    </row>
    <row r="414" spans="1:1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2"/>
      <c r="M414" s="2"/>
      <c r="N414" s="2"/>
      <c r="O414" s="3"/>
      <c r="P414" s="3"/>
      <c r="Q414" s="2"/>
    </row>
    <row r="415" spans="1:1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2"/>
      <c r="M415" s="2"/>
      <c r="N415" s="2"/>
      <c r="O415" s="3"/>
      <c r="P415" s="3"/>
      <c r="Q415" s="2"/>
    </row>
    <row r="416" spans="1:1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2"/>
      <c r="M416" s="2"/>
      <c r="N416" s="2"/>
      <c r="O416" s="3"/>
      <c r="P416" s="3"/>
      <c r="Q416" s="2"/>
    </row>
    <row r="417" spans="1:1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2"/>
      <c r="M417" s="2"/>
      <c r="N417" s="2"/>
      <c r="O417" s="3"/>
      <c r="P417" s="3"/>
      <c r="Q417" s="2"/>
    </row>
    <row r="418" spans="1:1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2"/>
      <c r="M418" s="2"/>
      <c r="N418" s="2"/>
      <c r="O418" s="3"/>
      <c r="P418" s="3"/>
      <c r="Q418" s="2"/>
    </row>
    <row r="419" spans="1:1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2"/>
      <c r="M419" s="2"/>
      <c r="N419" s="2"/>
      <c r="O419" s="3"/>
      <c r="P419" s="3"/>
      <c r="Q419" s="2"/>
    </row>
    <row r="420" spans="1:1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2"/>
      <c r="M420" s="2"/>
      <c r="N420" s="2"/>
      <c r="O420" s="3"/>
      <c r="P420" s="3"/>
      <c r="Q420" s="2"/>
    </row>
    <row r="421" spans="1:1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2"/>
      <c r="M421" s="2"/>
      <c r="N421" s="2"/>
      <c r="O421" s="3"/>
      <c r="P421" s="3"/>
      <c r="Q421" s="2"/>
    </row>
    <row r="422" spans="1:1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2"/>
      <c r="M422" s="2"/>
      <c r="N422" s="2"/>
      <c r="O422" s="3"/>
      <c r="P422" s="3"/>
      <c r="Q422" s="2"/>
    </row>
    <row r="423" spans="1:1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2"/>
      <c r="M423" s="2"/>
      <c r="N423" s="2"/>
      <c r="O423" s="3"/>
      <c r="P423" s="3"/>
      <c r="Q423" s="2"/>
    </row>
    <row r="424" spans="1:1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2"/>
      <c r="M424" s="2"/>
      <c r="N424" s="2"/>
      <c r="O424" s="3"/>
      <c r="P424" s="3"/>
      <c r="Q424" s="2"/>
    </row>
    <row r="425" spans="1:1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2"/>
      <c r="M425" s="2"/>
      <c r="N425" s="2"/>
      <c r="O425" s="3"/>
      <c r="P425" s="3"/>
      <c r="Q425" s="2"/>
    </row>
    <row r="426" spans="1:1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2"/>
      <c r="M426" s="2"/>
      <c r="N426" s="2"/>
      <c r="O426" s="3"/>
      <c r="P426" s="3"/>
      <c r="Q426" s="2"/>
    </row>
    <row r="427" spans="1:1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2"/>
      <c r="M427" s="2"/>
      <c r="N427" s="2"/>
      <c r="O427" s="3"/>
      <c r="P427" s="3"/>
      <c r="Q427" s="2"/>
    </row>
    <row r="428" spans="1:1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2"/>
      <c r="M428" s="2"/>
      <c r="N428" s="2"/>
      <c r="O428" s="3"/>
      <c r="P428" s="3"/>
      <c r="Q428" s="2"/>
    </row>
    <row r="429" spans="1:1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2"/>
      <c r="M429" s="2"/>
      <c r="N429" s="2"/>
      <c r="O429" s="3"/>
      <c r="P429" s="3"/>
      <c r="Q429" s="2"/>
    </row>
    <row r="430" spans="1:1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2"/>
      <c r="M430" s="2"/>
      <c r="N430" s="2"/>
      <c r="O430" s="3"/>
      <c r="P430" s="3"/>
      <c r="Q430" s="2"/>
    </row>
    <row r="431" spans="1:1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2"/>
      <c r="M431" s="2"/>
      <c r="N431" s="2"/>
      <c r="O431" s="3"/>
      <c r="P431" s="3"/>
      <c r="Q431" s="2"/>
    </row>
    <row r="432" spans="1:1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2"/>
      <c r="M432" s="2"/>
      <c r="N432" s="2"/>
      <c r="O432" s="3"/>
      <c r="P432" s="3"/>
      <c r="Q432" s="2"/>
    </row>
    <row r="433" spans="1:1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2"/>
      <c r="M433" s="2"/>
      <c r="N433" s="2"/>
      <c r="O433" s="3"/>
      <c r="P433" s="3"/>
      <c r="Q433" s="2"/>
    </row>
    <row r="434" spans="1:1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2"/>
      <c r="M434" s="2"/>
      <c r="N434" s="2"/>
      <c r="O434" s="3"/>
      <c r="P434" s="3"/>
      <c r="Q434" s="2"/>
    </row>
    <row r="435" spans="1:1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2"/>
      <c r="M435" s="2"/>
      <c r="N435" s="2"/>
      <c r="O435" s="3"/>
      <c r="P435" s="3"/>
      <c r="Q435" s="2"/>
    </row>
    <row r="436" spans="1:1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2"/>
      <c r="M436" s="2"/>
      <c r="N436" s="2"/>
      <c r="O436" s="3"/>
      <c r="P436" s="3"/>
      <c r="Q436" s="2"/>
    </row>
    <row r="437" spans="1:1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2"/>
      <c r="M437" s="2"/>
      <c r="N437" s="2"/>
      <c r="O437" s="3"/>
      <c r="P437" s="3"/>
      <c r="Q437" s="2"/>
    </row>
    <row r="438" spans="1:1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2"/>
      <c r="M438" s="2"/>
      <c r="N438" s="2"/>
      <c r="O438" s="3"/>
      <c r="P438" s="3"/>
      <c r="Q438" s="2"/>
    </row>
    <row r="439" spans="1:1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2"/>
      <c r="M439" s="2"/>
      <c r="N439" s="2"/>
      <c r="O439" s="3"/>
      <c r="P439" s="3"/>
      <c r="Q439" s="2"/>
    </row>
    <row r="440" spans="1:1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2"/>
      <c r="M440" s="2"/>
      <c r="N440" s="2"/>
      <c r="O440" s="3"/>
      <c r="P440" s="3"/>
      <c r="Q440" s="2"/>
    </row>
    <row r="441" spans="1:1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2"/>
      <c r="M441" s="2"/>
      <c r="N441" s="2"/>
      <c r="O441" s="3"/>
      <c r="P441" s="3"/>
      <c r="Q441" s="2"/>
    </row>
    <row r="442" spans="1:1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2"/>
      <c r="M442" s="2"/>
      <c r="N442" s="2"/>
      <c r="O442" s="3"/>
      <c r="P442" s="3"/>
      <c r="Q442" s="2"/>
    </row>
    <row r="443" spans="1:1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2"/>
      <c r="M443" s="2"/>
      <c r="N443" s="2"/>
      <c r="O443" s="3"/>
      <c r="P443" s="3"/>
      <c r="Q443" s="2"/>
    </row>
    <row r="444" spans="1:1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2"/>
      <c r="M444" s="2"/>
      <c r="N444" s="2"/>
      <c r="O444" s="3"/>
      <c r="P444" s="3"/>
      <c r="Q444" s="2"/>
    </row>
    <row r="445" spans="1:1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2"/>
      <c r="M445" s="2"/>
      <c r="N445" s="2"/>
      <c r="O445" s="3"/>
      <c r="P445" s="3"/>
      <c r="Q445" s="2"/>
    </row>
    <row r="446" spans="1:1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2"/>
      <c r="M446" s="2"/>
      <c r="N446" s="2"/>
      <c r="O446" s="3"/>
      <c r="P446" s="3"/>
      <c r="Q446" s="2"/>
    </row>
    <row r="447" spans="1:1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2"/>
      <c r="M447" s="2"/>
      <c r="N447" s="2"/>
      <c r="O447" s="3"/>
      <c r="P447" s="3"/>
      <c r="Q447" s="2"/>
    </row>
    <row r="448" spans="1:1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2"/>
      <c r="M448" s="2"/>
      <c r="N448" s="2"/>
      <c r="O448" s="3"/>
      <c r="P448" s="3"/>
      <c r="Q448" s="2"/>
    </row>
    <row r="449" spans="1:1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2"/>
      <c r="M449" s="2"/>
      <c r="N449" s="2"/>
      <c r="O449" s="3"/>
      <c r="P449" s="3"/>
      <c r="Q449" s="2"/>
    </row>
    <row r="450" spans="1:1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2"/>
      <c r="M450" s="2"/>
      <c r="N450" s="2"/>
      <c r="O450" s="3"/>
      <c r="P450" s="3"/>
      <c r="Q450" s="2"/>
    </row>
    <row r="451" spans="1:1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2"/>
      <c r="M451" s="2"/>
      <c r="N451" s="2"/>
      <c r="O451" s="3"/>
      <c r="P451" s="3"/>
      <c r="Q451" s="2"/>
    </row>
    <row r="452" spans="1:1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2"/>
      <c r="M452" s="2"/>
      <c r="N452" s="2"/>
      <c r="O452" s="3"/>
      <c r="P452" s="3"/>
      <c r="Q452" s="2"/>
    </row>
    <row r="453" spans="1:1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2"/>
      <c r="M453" s="2"/>
      <c r="N453" s="2"/>
      <c r="O453" s="3"/>
      <c r="P453" s="3"/>
      <c r="Q453" s="2"/>
    </row>
    <row r="454" spans="1:1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2"/>
      <c r="M454" s="2"/>
      <c r="N454" s="2"/>
      <c r="O454" s="3"/>
      <c r="P454" s="3"/>
      <c r="Q454" s="2"/>
    </row>
    <row r="455" spans="1:1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2"/>
      <c r="M455" s="2"/>
      <c r="N455" s="2"/>
      <c r="O455" s="3"/>
      <c r="P455" s="3"/>
      <c r="Q455" s="2"/>
    </row>
    <row r="456" spans="1:1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2"/>
      <c r="M456" s="2"/>
      <c r="N456" s="2"/>
      <c r="O456" s="3"/>
      <c r="P456" s="3"/>
      <c r="Q456" s="2"/>
    </row>
    <row r="457" spans="1:1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2"/>
      <c r="M457" s="2"/>
      <c r="N457" s="2"/>
      <c r="O457" s="3"/>
      <c r="P457" s="3"/>
      <c r="Q457" s="2"/>
    </row>
    <row r="458" spans="1:1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2"/>
      <c r="M458" s="2"/>
      <c r="N458" s="2"/>
      <c r="O458" s="3"/>
      <c r="P458" s="3"/>
      <c r="Q458" s="2"/>
    </row>
    <row r="459" spans="1:1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2"/>
      <c r="M459" s="2"/>
      <c r="N459" s="2"/>
      <c r="O459" s="3"/>
      <c r="P459" s="3"/>
      <c r="Q459" s="2"/>
    </row>
    <row r="460" spans="1:1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2"/>
      <c r="M460" s="2"/>
      <c r="N460" s="2"/>
      <c r="O460" s="3"/>
      <c r="P460" s="3"/>
      <c r="Q460" s="2"/>
    </row>
    <row r="461" spans="1:1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2"/>
      <c r="M461" s="2"/>
      <c r="N461" s="2"/>
      <c r="O461" s="3"/>
      <c r="P461" s="3"/>
      <c r="Q461" s="2"/>
    </row>
    <row r="462" spans="1:1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2"/>
      <c r="M462" s="2"/>
      <c r="N462" s="2"/>
      <c r="O462" s="3"/>
      <c r="P462" s="3"/>
      <c r="Q462" s="2"/>
    </row>
    <row r="463" spans="1:1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2"/>
      <c r="M463" s="2"/>
      <c r="N463" s="2"/>
      <c r="O463" s="3"/>
      <c r="P463" s="3"/>
      <c r="Q463" s="2"/>
    </row>
    <row r="464" spans="1:1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2"/>
      <c r="M464" s="2"/>
      <c r="N464" s="2"/>
      <c r="O464" s="3"/>
      <c r="P464" s="3"/>
      <c r="Q464" s="2"/>
    </row>
    <row r="465" spans="1:1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2"/>
      <c r="M465" s="2"/>
      <c r="N465" s="2"/>
      <c r="O465" s="3"/>
      <c r="P465" s="3"/>
      <c r="Q465" s="2"/>
    </row>
    <row r="466" spans="1:1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2"/>
      <c r="M466" s="2"/>
      <c r="N466" s="2"/>
      <c r="O466" s="3"/>
      <c r="P466" s="3"/>
      <c r="Q466" s="2"/>
    </row>
    <row r="467" spans="1:1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2"/>
      <c r="M467" s="2"/>
      <c r="N467" s="2"/>
      <c r="O467" s="3"/>
      <c r="P467" s="3"/>
      <c r="Q467" s="2"/>
    </row>
    <row r="468" spans="1:1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2"/>
      <c r="M468" s="2"/>
      <c r="N468" s="2"/>
      <c r="O468" s="3"/>
      <c r="P468" s="3"/>
      <c r="Q468" s="2"/>
    </row>
    <row r="469" spans="1:1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2"/>
      <c r="M469" s="2"/>
      <c r="N469" s="2"/>
      <c r="O469" s="3"/>
      <c r="P469" s="3"/>
      <c r="Q469" s="2"/>
    </row>
    <row r="470" spans="1:1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2"/>
      <c r="M470" s="2"/>
      <c r="N470" s="2"/>
      <c r="O470" s="3"/>
      <c r="P470" s="3"/>
      <c r="Q470" s="2"/>
    </row>
    <row r="471" spans="1:1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2"/>
      <c r="M471" s="2"/>
      <c r="N471" s="2"/>
      <c r="O471" s="3"/>
      <c r="P471" s="3"/>
      <c r="Q471" s="2"/>
    </row>
    <row r="472" spans="1:1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2"/>
      <c r="M472" s="2"/>
      <c r="N472" s="2"/>
      <c r="O472" s="3"/>
      <c r="P472" s="3"/>
      <c r="Q472" s="2"/>
    </row>
    <row r="473" spans="1:1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2"/>
      <c r="M473" s="2"/>
      <c r="N473" s="2"/>
      <c r="O473" s="3"/>
      <c r="P473" s="3"/>
      <c r="Q473" s="2"/>
    </row>
    <row r="474" spans="1:1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2"/>
      <c r="M474" s="2"/>
      <c r="N474" s="2"/>
      <c r="O474" s="3"/>
      <c r="P474" s="3"/>
      <c r="Q474" s="2"/>
    </row>
    <row r="475" spans="1:1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2"/>
      <c r="M475" s="2"/>
      <c r="N475" s="2"/>
      <c r="O475" s="3"/>
      <c r="P475" s="3"/>
      <c r="Q475" s="2"/>
    </row>
    <row r="476" spans="1:1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2"/>
      <c r="M476" s="2"/>
      <c r="N476" s="2"/>
      <c r="O476" s="3"/>
      <c r="P476" s="3"/>
      <c r="Q476" s="2"/>
    </row>
    <row r="477" spans="1:1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2"/>
      <c r="M477" s="2"/>
      <c r="N477" s="2"/>
      <c r="O477" s="3"/>
      <c r="P477" s="3"/>
      <c r="Q477" s="2"/>
    </row>
    <row r="478" spans="1:1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2"/>
      <c r="M478" s="2"/>
      <c r="N478" s="2"/>
      <c r="O478" s="3"/>
      <c r="P478" s="3"/>
      <c r="Q478" s="2"/>
    </row>
    <row r="479" spans="1:1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2"/>
      <c r="M479" s="2"/>
      <c r="N479" s="2"/>
      <c r="O479" s="3"/>
      <c r="P479" s="3"/>
      <c r="Q479" s="2"/>
    </row>
    <row r="480" spans="1:1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2"/>
      <c r="M480" s="2"/>
      <c r="N480" s="2"/>
      <c r="O480" s="3"/>
      <c r="P480" s="3"/>
      <c r="Q480" s="2"/>
    </row>
    <row r="481" spans="1:1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2"/>
      <c r="M481" s="2"/>
      <c r="N481" s="2"/>
      <c r="O481" s="3"/>
      <c r="P481" s="3"/>
      <c r="Q481" s="2"/>
    </row>
    <row r="482" spans="1:1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2"/>
      <c r="M482" s="2"/>
      <c r="N482" s="2"/>
      <c r="O482" s="3"/>
      <c r="P482" s="3"/>
      <c r="Q482" s="2"/>
    </row>
    <row r="483" spans="1:1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2"/>
      <c r="M483" s="2"/>
      <c r="N483" s="2"/>
      <c r="O483" s="3"/>
      <c r="P483" s="3"/>
      <c r="Q483" s="2"/>
    </row>
    <row r="484" spans="1:1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2"/>
      <c r="M484" s="2"/>
      <c r="N484" s="2"/>
      <c r="O484" s="3"/>
      <c r="P484" s="3"/>
      <c r="Q484" s="2"/>
    </row>
    <row r="485" spans="1:1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2"/>
      <c r="M485" s="2"/>
      <c r="N485" s="2"/>
      <c r="O485" s="3"/>
      <c r="P485" s="3"/>
      <c r="Q485" s="2"/>
    </row>
    <row r="486" spans="1:1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2"/>
      <c r="M486" s="2"/>
      <c r="N486" s="2"/>
      <c r="O486" s="3"/>
      <c r="P486" s="3"/>
      <c r="Q486" s="2"/>
    </row>
    <row r="487" spans="1:1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2"/>
      <c r="M487" s="2"/>
      <c r="N487" s="2"/>
      <c r="O487" s="3"/>
      <c r="P487" s="3"/>
      <c r="Q487" s="2"/>
    </row>
    <row r="488" spans="1:1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2"/>
      <c r="M488" s="2"/>
      <c r="N488" s="2"/>
      <c r="O488" s="3"/>
      <c r="P488" s="3"/>
      <c r="Q488" s="2"/>
    </row>
    <row r="489" spans="1:1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2"/>
      <c r="M489" s="2"/>
      <c r="N489" s="2"/>
      <c r="O489" s="3"/>
      <c r="P489" s="3"/>
      <c r="Q489" s="2"/>
    </row>
    <row r="490" spans="1:1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2"/>
      <c r="M490" s="2"/>
      <c r="N490" s="2"/>
      <c r="O490" s="3"/>
      <c r="P490" s="3"/>
      <c r="Q490" s="2"/>
    </row>
    <row r="491" spans="1:1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2"/>
      <c r="M491" s="2"/>
      <c r="N491" s="2"/>
      <c r="O491" s="3"/>
      <c r="P491" s="3"/>
      <c r="Q491" s="2"/>
    </row>
    <row r="492" spans="1:1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2"/>
      <c r="M492" s="2"/>
      <c r="N492" s="2"/>
      <c r="O492" s="3"/>
      <c r="P492" s="3"/>
      <c r="Q492" s="2"/>
    </row>
    <row r="493" spans="1:1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2"/>
      <c r="M493" s="2"/>
      <c r="N493" s="2"/>
      <c r="O493" s="3"/>
      <c r="P493" s="3"/>
      <c r="Q493" s="2"/>
    </row>
    <row r="494" spans="1:1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2"/>
      <c r="M494" s="2"/>
      <c r="N494" s="2"/>
      <c r="O494" s="3"/>
      <c r="P494" s="3"/>
      <c r="Q494" s="2"/>
    </row>
    <row r="495" spans="1:1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2"/>
      <c r="M495" s="2"/>
      <c r="N495" s="2"/>
      <c r="O495" s="3"/>
      <c r="P495" s="3"/>
      <c r="Q495" s="2"/>
    </row>
    <row r="496" spans="1:1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2"/>
      <c r="M496" s="2"/>
      <c r="N496" s="2"/>
      <c r="O496" s="3"/>
      <c r="P496" s="3"/>
      <c r="Q496" s="2"/>
    </row>
    <row r="497" spans="1:1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2"/>
      <c r="M497" s="2"/>
      <c r="N497" s="2"/>
      <c r="O497" s="3"/>
      <c r="P497" s="3"/>
      <c r="Q497" s="2"/>
    </row>
    <row r="498" spans="1:1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2"/>
      <c r="M498" s="2"/>
      <c r="N498" s="2"/>
      <c r="O498" s="3"/>
      <c r="P498" s="3"/>
      <c r="Q498" s="2"/>
    </row>
    <row r="499" spans="1:1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2"/>
      <c r="M499" s="2"/>
      <c r="N499" s="2"/>
      <c r="O499" s="3"/>
      <c r="P499" s="3"/>
      <c r="Q499" s="2"/>
    </row>
    <row r="500" spans="1:1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2"/>
      <c r="M500" s="2"/>
      <c r="N500" s="2"/>
      <c r="O500" s="3"/>
      <c r="P500" s="3"/>
      <c r="Q500" s="2"/>
    </row>
  </sheetData>
  <mergeCells count="2">
    <mergeCell ref="A2:Q2"/>
    <mergeCell ref="A1:Q1"/>
  </mergeCells>
  <conditionalFormatting sqref="A4:Q500">
    <cfRule type="expression" dxfId="12" priority="9">
      <formula>AND($F4="Critical",$H4&lt;&gt;"Closed",$A4&lt;&gt;"")</formula>
    </cfRule>
  </conditionalFormatting>
  <conditionalFormatting sqref="F4:F500">
    <cfRule type="expression" dxfId="11" priority="1">
      <formula>$F4="Critical"</formula>
    </cfRule>
    <cfRule type="expression" dxfId="10" priority="2">
      <formula>$F4="High"</formula>
    </cfRule>
    <cfRule type="expression" dxfId="9" priority="3">
      <formula>$F4="Medium"</formula>
    </cfRule>
    <cfRule type="expression" dxfId="8" priority="4">
      <formula>$F4="Low"</formula>
    </cfRule>
  </conditionalFormatting>
  <conditionalFormatting sqref="H4:H500">
    <cfRule type="expression" dxfId="7" priority="5">
      <formula>$H4="Closed"</formula>
    </cfRule>
    <cfRule type="expression" dxfId="6" priority="6">
      <formula>$H4="Blocked"</formula>
    </cfRule>
    <cfRule type="expression" dxfId="5" priority="7">
      <formula>$H4="Open"</formula>
    </cfRule>
  </conditionalFormatting>
  <conditionalFormatting sqref="O4:O500">
    <cfRule type="expression" dxfId="4" priority="8">
      <formula>AND($O4&lt;TODAY(),$H4&lt;&gt;"Closed",$A4&lt;&gt;"")</formula>
    </cfRule>
  </conditionalFormatting>
  <dataValidations count="3">
    <dataValidation type="list" allowBlank="1" sqref="F4:G500" xr:uid="{00000000-0002-0000-0000-000000000000}">
      <formula1>"Critical,High,Medium,Low"</formula1>
    </dataValidation>
    <dataValidation type="list" allowBlank="1" sqref="H4:H500" xr:uid="{00000000-0002-0000-0000-000002000000}">
      <formula1>"Open,In Progress,Ready for Retest,In Retest,Closed,Deferred,Blocked"</formula1>
    </dataValidation>
    <dataValidation type="list" allowBlank="1" sqref="N4:N500" xr:uid="{00000000-0002-0000-0000-000003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pane ySplit="9" topLeftCell="A10" activePane="bottomLeft" state="frozen"/>
      <selection pane="bottomLeft" sqref="A1:H1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4" customWidth="1"/>
    <col min="4" max="4" width="24" customWidth="1"/>
    <col min="5" max="8" width="18" customWidth="1"/>
  </cols>
  <sheetData>
    <row r="1" spans="1:8" ht="24" customHeight="1" x14ac:dyDescent="0.2">
      <c r="A1" s="14" t="s">
        <v>53</v>
      </c>
      <c r="B1" s="13"/>
      <c r="C1" s="13"/>
      <c r="D1" s="13"/>
      <c r="E1" s="13"/>
      <c r="F1" s="13"/>
      <c r="G1" s="13"/>
      <c r="H1" s="13"/>
    </row>
    <row r="2" spans="1:8" x14ac:dyDescent="0.2">
      <c r="A2" s="4" t="s">
        <v>54</v>
      </c>
      <c r="B2" s="5" t="s">
        <v>55</v>
      </c>
      <c r="D2" s="18" t="s">
        <v>56</v>
      </c>
      <c r="E2" s="13"/>
      <c r="F2" s="13"/>
      <c r="G2" s="13"/>
      <c r="H2" s="13"/>
    </row>
    <row r="3" spans="1:8" x14ac:dyDescent="0.2">
      <c r="A3" s="4" t="s">
        <v>57</v>
      </c>
      <c r="B3" s="5" t="s">
        <v>58</v>
      </c>
      <c r="D3" s="17" t="s">
        <v>59</v>
      </c>
      <c r="E3" s="13"/>
      <c r="F3" s="13"/>
      <c r="G3" s="13"/>
      <c r="H3" s="13"/>
    </row>
    <row r="4" spans="1:8" x14ac:dyDescent="0.2">
      <c r="A4" s="4" t="s">
        <v>60</v>
      </c>
      <c r="B4" s="6">
        <v>46091</v>
      </c>
      <c r="D4" s="17" t="s">
        <v>61</v>
      </c>
      <c r="E4" s="13"/>
      <c r="F4" s="13"/>
      <c r="G4" s="13"/>
      <c r="H4" s="13"/>
    </row>
    <row r="5" spans="1:8" x14ac:dyDescent="0.2">
      <c r="A5" s="4" t="s">
        <v>62</v>
      </c>
      <c r="B5" s="6"/>
      <c r="D5" s="17" t="s">
        <v>63</v>
      </c>
      <c r="E5" s="13"/>
      <c r="F5" s="13"/>
      <c r="G5" s="13"/>
      <c r="H5" s="13"/>
    </row>
    <row r="6" spans="1:8" x14ac:dyDescent="0.2">
      <c r="A6" s="4" t="s">
        <v>64</v>
      </c>
      <c r="B6" s="5" t="s">
        <v>27</v>
      </c>
      <c r="D6" s="17" t="s">
        <v>65</v>
      </c>
      <c r="E6" s="13"/>
      <c r="F6" s="13"/>
      <c r="G6" s="13"/>
      <c r="H6" s="13"/>
    </row>
    <row r="7" spans="1:8" x14ac:dyDescent="0.2">
      <c r="A7" s="4" t="s">
        <v>66</v>
      </c>
      <c r="B7" s="5" t="s">
        <v>67</v>
      </c>
    </row>
    <row r="9" spans="1:8" x14ac:dyDescent="0.2">
      <c r="A9" s="15" t="s">
        <v>68</v>
      </c>
      <c r="B9" s="13"/>
      <c r="D9" s="15" t="s">
        <v>69</v>
      </c>
      <c r="E9" s="13"/>
    </row>
    <row r="10" spans="1:8" x14ac:dyDescent="0.2">
      <c r="A10" s="4" t="s">
        <v>70</v>
      </c>
      <c r="B10" s="7">
        <f>COUNTA(Defect_Log!A4:A500)</f>
        <v>3</v>
      </c>
      <c r="D10" s="4" t="s">
        <v>71</v>
      </c>
      <c r="E10" s="7">
        <f>COUNTIFS(Defect_Log!F4:F500,"Critical",Defect_Log!H4:H500,"&lt;&gt;Closed",Defect_Log!A4:A500,"&lt;&gt;")</f>
        <v>0</v>
      </c>
    </row>
    <row r="11" spans="1:8" x14ac:dyDescent="0.2">
      <c r="A11" s="4" t="s">
        <v>25</v>
      </c>
      <c r="B11" s="7">
        <f>COUNTIFS(Defect_Log!H4:H500,"Open",Defect_Log!A4:A500,"&lt;&gt;")</f>
        <v>1</v>
      </c>
      <c r="D11" s="4" t="s">
        <v>72</v>
      </c>
      <c r="E11" s="7">
        <f>COUNTIFS(Defect_Log!F4:F500,"High",Defect_Log!H4:H500,"&lt;&gt;Closed",Defect_Log!A4:A500,"&lt;&gt;")</f>
        <v>1</v>
      </c>
    </row>
    <row r="12" spans="1:8" x14ac:dyDescent="0.2">
      <c r="A12" s="4" t="s">
        <v>73</v>
      </c>
      <c r="B12" s="7">
        <f>COUNTIFS(Defect_Log!H4:H500,"In Progress",Defect_Log!A4:A500,"&lt;&gt;")</f>
        <v>0</v>
      </c>
      <c r="D12" s="4" t="s">
        <v>74</v>
      </c>
      <c r="E12" s="7">
        <f>COUNTIFS(Defect_Log!F4:F500,"Medium",Defect_Log!H4:H500,"&lt;&gt;Closed",Defect_Log!A4:A500,"&lt;&gt;")</f>
        <v>1</v>
      </c>
    </row>
    <row r="13" spans="1:8" x14ac:dyDescent="0.2">
      <c r="A13" s="4" t="s">
        <v>75</v>
      </c>
      <c r="B13" s="7">
        <f>COUNTIFS(Defect_Log!H4:H500,"Ready for Retest",Defect_Log!A4:A500,"&lt;&gt;")</f>
        <v>0</v>
      </c>
      <c r="D13" s="4" t="s">
        <v>76</v>
      </c>
      <c r="E13" s="7">
        <f>COUNTIFS(Defect_Log!F4:F500,"Low",Defect_Log!H4:H500,"&lt;&gt;Closed",Defect_Log!A4:A500,"&lt;&gt;")</f>
        <v>0</v>
      </c>
    </row>
    <row r="14" spans="1:8" x14ac:dyDescent="0.2">
      <c r="A14" s="4" t="s">
        <v>38</v>
      </c>
      <c r="B14" s="7">
        <f>COUNTIFS(Defect_Log!H4:H500,"In Retest",Defect_Log!A4:A500,"&lt;&gt;")</f>
        <v>1</v>
      </c>
    </row>
    <row r="15" spans="1:8" x14ac:dyDescent="0.2">
      <c r="A15" s="4" t="s">
        <v>49</v>
      </c>
      <c r="B15" s="7">
        <f>COUNTIFS(Defect_Log!H4:H500,"Closed",Defect_Log!A4:A500,"&lt;&gt;")</f>
        <v>1</v>
      </c>
    </row>
    <row r="16" spans="1:8" x14ac:dyDescent="0.2">
      <c r="A16" s="4" t="s">
        <v>77</v>
      </c>
      <c r="B16" s="7">
        <f>COUNTIFS(Defect_Log!H4:H500,"Deferred",Defect_Log!A4:A500,"&lt;&gt;")</f>
        <v>0</v>
      </c>
    </row>
    <row r="17" spans="1:8" x14ac:dyDescent="0.2">
      <c r="A17" s="4" t="s">
        <v>78</v>
      </c>
      <c r="B17" s="7">
        <f>COUNTIFS(Defect_Log!H4:H500,"Blocked",Defect_Log!A4:A500,"&lt;&gt;")</f>
        <v>0</v>
      </c>
    </row>
    <row r="20" spans="1:8" x14ac:dyDescent="0.2">
      <c r="A20" s="15" t="s">
        <v>79</v>
      </c>
      <c r="B20" s="13"/>
      <c r="D20" s="15" t="s">
        <v>80</v>
      </c>
      <c r="E20" s="13"/>
      <c r="F20" s="13"/>
      <c r="G20" s="13"/>
      <c r="H20" s="13"/>
    </row>
    <row r="21" spans="1:8" x14ac:dyDescent="0.2">
      <c r="A21" s="4" t="s">
        <v>81</v>
      </c>
      <c r="B21" s="8" t="str">
        <f>IF(E10=0,"Yes","No")</f>
        <v>Yes</v>
      </c>
      <c r="D21" s="16" t="s">
        <v>82</v>
      </c>
      <c r="E21" s="13"/>
      <c r="F21" s="13"/>
      <c r="G21" s="13"/>
      <c r="H21" s="13"/>
    </row>
    <row r="22" spans="1:8" x14ac:dyDescent="0.2">
      <c r="A22" s="4" t="s">
        <v>83</v>
      </c>
      <c r="B22" s="8" t="str">
        <f>IF(E11&lt;=1,"Yes","No")</f>
        <v>Yes</v>
      </c>
      <c r="D22" s="16"/>
      <c r="E22" s="13"/>
      <c r="F22" s="13"/>
      <c r="G22" s="13"/>
      <c r="H22" s="13"/>
    </row>
    <row r="23" spans="1:8" x14ac:dyDescent="0.2">
      <c r="A23" s="4" t="s">
        <v>84</v>
      </c>
      <c r="B23" s="8" t="str">
        <f>IF(B17=0,"Yes","No")</f>
        <v>Yes</v>
      </c>
      <c r="D23" s="16"/>
      <c r="E23" s="13"/>
      <c r="F23" s="13"/>
      <c r="G23" s="13"/>
      <c r="H23" s="13"/>
    </row>
    <row r="24" spans="1:8" x14ac:dyDescent="0.2">
      <c r="A24" s="4" t="s">
        <v>85</v>
      </c>
      <c r="B24" s="7" t="str">
        <f>IF(AND(E10=0,E11&lt;=1,B17=0),"Recommended for Sign-Off","Not Ready for Sign-Off")</f>
        <v>Recommended for Sign-Off</v>
      </c>
      <c r="D24" s="16"/>
      <c r="E24" s="13"/>
      <c r="F24" s="13"/>
      <c r="G24" s="13"/>
      <c r="H24" s="13"/>
    </row>
    <row r="25" spans="1:8" x14ac:dyDescent="0.2">
      <c r="D25" s="16"/>
      <c r="E25" s="13"/>
      <c r="F25" s="13"/>
      <c r="G25" s="13"/>
      <c r="H25" s="13"/>
    </row>
  </sheetData>
  <mergeCells count="15">
    <mergeCell ref="D2:H2"/>
    <mergeCell ref="A9:B9"/>
    <mergeCell ref="D5:H5"/>
    <mergeCell ref="D23:H23"/>
    <mergeCell ref="A1:H1"/>
    <mergeCell ref="D4:H4"/>
    <mergeCell ref="D22:H22"/>
    <mergeCell ref="D9:E9"/>
    <mergeCell ref="D3:H3"/>
    <mergeCell ref="A20:B20"/>
    <mergeCell ref="D21:H21"/>
    <mergeCell ref="D25:H25"/>
    <mergeCell ref="D6:H6"/>
    <mergeCell ref="D20:H20"/>
    <mergeCell ref="D24:H24"/>
  </mergeCells>
  <conditionalFormatting sqref="B24">
    <cfRule type="expression" dxfId="3" priority="1">
      <formula>$B24="Recommended for Sign-Off"</formula>
    </cfRule>
    <cfRule type="expression" dxfId="2" priority="2">
      <formula>$B24="Not Ready for Sign-Off"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tabSelected="1" workbookViewId="0">
      <pane ySplit="7" topLeftCell="A8" activePane="bottomLeft" state="frozen"/>
      <selection pane="bottomLeft" sqref="A1:H1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22" customWidth="1"/>
    <col min="4" max="4" width="18" customWidth="1"/>
    <col min="5" max="5" width="14" customWidth="1"/>
    <col min="6" max="6" width="28" customWidth="1"/>
  </cols>
  <sheetData>
    <row r="1" spans="1:8" ht="24" customHeight="1" x14ac:dyDescent="0.2">
      <c r="A1" s="14" t="s">
        <v>86</v>
      </c>
      <c r="B1" s="13"/>
      <c r="C1" s="13"/>
      <c r="D1" s="13"/>
      <c r="E1" s="13"/>
      <c r="F1" s="13"/>
      <c r="G1" s="13"/>
      <c r="H1" s="13"/>
    </row>
    <row r="2" spans="1:8" x14ac:dyDescent="0.2">
      <c r="A2" s="4" t="s">
        <v>54</v>
      </c>
      <c r="B2" s="5" t="str">
        <f>UAT_Summary!B2</f>
        <v>FP&amp;A Executive Analytics Project</v>
      </c>
      <c r="D2" s="18" t="s">
        <v>87</v>
      </c>
      <c r="E2" s="13"/>
    </row>
    <row r="3" spans="1:8" x14ac:dyDescent="0.2">
      <c r="A3" s="4" t="s">
        <v>88</v>
      </c>
      <c r="B3" s="5" t="str">
        <f>UAT_Summary!B7</f>
        <v>1.0</v>
      </c>
      <c r="D3" s="20" t="str">
        <f>UAT_Summary!B24</f>
        <v>Recommended for Sign-Off</v>
      </c>
      <c r="E3" s="13"/>
    </row>
    <row r="4" spans="1:8" x14ac:dyDescent="0.2">
      <c r="A4" s="4" t="s">
        <v>89</v>
      </c>
      <c r="B4" s="5"/>
      <c r="D4" s="4" t="s">
        <v>90</v>
      </c>
      <c r="E4" s="9" t="str">
        <f>UAT_Summary!E10&amp;" / "&amp;UAT_Summary!E11</f>
        <v>0 / 1</v>
      </c>
    </row>
    <row r="5" spans="1:8" x14ac:dyDescent="0.2">
      <c r="A5" s="4" t="s">
        <v>91</v>
      </c>
      <c r="B5" s="5" t="str">
        <f>UAT_Summary!B6</f>
        <v>Jamie Christian</v>
      </c>
      <c r="D5" s="4" t="s">
        <v>92</v>
      </c>
      <c r="E5" s="6"/>
    </row>
    <row r="7" spans="1:8" x14ac:dyDescent="0.2">
      <c r="A7" s="15" t="s">
        <v>93</v>
      </c>
      <c r="B7" s="13"/>
      <c r="C7" s="13"/>
      <c r="D7" s="13"/>
      <c r="E7" s="13"/>
      <c r="F7" s="13"/>
    </row>
    <row r="8" spans="1:8" x14ac:dyDescent="0.2">
      <c r="A8" s="10" t="s">
        <v>94</v>
      </c>
      <c r="B8" s="10" t="s">
        <v>95</v>
      </c>
      <c r="C8" s="10" t="s">
        <v>96</v>
      </c>
      <c r="D8" s="10" t="s">
        <v>97</v>
      </c>
      <c r="E8" s="10" t="s">
        <v>98</v>
      </c>
      <c r="F8" s="10" t="s">
        <v>99</v>
      </c>
    </row>
    <row r="9" spans="1:8" ht="16" x14ac:dyDescent="0.2">
      <c r="A9" s="11" t="s">
        <v>89</v>
      </c>
      <c r="B9" s="2"/>
      <c r="C9" s="2"/>
      <c r="D9" s="2" t="s">
        <v>100</v>
      </c>
      <c r="E9" s="3"/>
      <c r="F9" s="2"/>
    </row>
    <row r="10" spans="1:8" ht="16" x14ac:dyDescent="0.2">
      <c r="A10" s="11" t="s">
        <v>91</v>
      </c>
      <c r="B10" s="2" t="s">
        <v>27</v>
      </c>
      <c r="C10" s="2"/>
      <c r="D10" s="2" t="s">
        <v>100</v>
      </c>
      <c r="E10" s="3"/>
      <c r="F10" s="2"/>
    </row>
    <row r="11" spans="1:8" ht="16" x14ac:dyDescent="0.2">
      <c r="A11" s="11" t="s">
        <v>101</v>
      </c>
      <c r="B11" s="2"/>
      <c r="C11" s="2"/>
      <c r="D11" s="2" t="s">
        <v>100</v>
      </c>
      <c r="E11" s="3"/>
      <c r="F11" s="2"/>
    </row>
    <row r="12" spans="1:8" ht="16" x14ac:dyDescent="0.2">
      <c r="A12" s="11" t="s">
        <v>102</v>
      </c>
      <c r="B12" s="2"/>
      <c r="C12" s="2"/>
      <c r="D12" s="2" t="s">
        <v>100</v>
      </c>
      <c r="E12" s="3"/>
      <c r="F12" s="2"/>
    </row>
    <row r="15" spans="1:8" x14ac:dyDescent="0.2">
      <c r="A15" s="15" t="s">
        <v>103</v>
      </c>
      <c r="B15" s="13"/>
      <c r="C15" s="13"/>
      <c r="D15" s="13"/>
      <c r="E15" s="13"/>
      <c r="F15" s="13"/>
    </row>
    <row r="16" spans="1:8" x14ac:dyDescent="0.2">
      <c r="A16" s="19" t="s">
        <v>104</v>
      </c>
      <c r="B16" s="13"/>
      <c r="C16" s="13"/>
      <c r="D16" s="13"/>
      <c r="E16" s="13"/>
      <c r="F16" s="13"/>
    </row>
    <row r="17" spans="1:6" x14ac:dyDescent="0.2">
      <c r="A17" s="19"/>
      <c r="B17" s="13"/>
      <c r="C17" s="13"/>
      <c r="D17" s="13"/>
      <c r="E17" s="13"/>
      <c r="F17" s="13"/>
    </row>
    <row r="18" spans="1:6" x14ac:dyDescent="0.2">
      <c r="A18" s="19"/>
      <c r="B18" s="13"/>
      <c r="C18" s="13"/>
      <c r="D18" s="13"/>
      <c r="E18" s="13"/>
      <c r="F18" s="13"/>
    </row>
  </sheetData>
  <mergeCells count="8">
    <mergeCell ref="A16:F16"/>
    <mergeCell ref="D2:E2"/>
    <mergeCell ref="A17:F17"/>
    <mergeCell ref="A18:F18"/>
    <mergeCell ref="A1:H1"/>
    <mergeCell ref="D3:E3"/>
    <mergeCell ref="A15:F15"/>
    <mergeCell ref="A7:F7"/>
  </mergeCells>
  <conditionalFormatting sqref="D3">
    <cfRule type="expression" dxfId="1" priority="1">
      <formula>$D3="Recommended for Sign-Off"</formula>
    </cfRule>
    <cfRule type="expression" dxfId="0" priority="2">
      <formula>$D3="Not Ready for Sign-Off"</formula>
    </cfRule>
  </conditionalFormatting>
  <dataValidations count="1">
    <dataValidation type="list" allowBlank="1" sqref="D9:D20" xr:uid="{00000000-0002-0000-0200-000000000000}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Defect_Log</vt:lpstr>
      <vt:lpstr>UAT_Summary</vt:lpstr>
      <vt:lpstr>Sign_Off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2026-03-10T15:50:24Z</dcterms:created>
  <dcterms:modified xsi:type="dcterms:W3CDTF">2026-03-10T15:57:14Z</dcterms:modified>
</cp:coreProperties>
</file>