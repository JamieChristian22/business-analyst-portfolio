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CFCF42C1-1D3C-C149-8BBA-664F1F7BA811}" xr6:coauthVersionLast="47" xr6:coauthVersionMax="47" xr10:uidLastSave="{00000000-0000-0000-0000-000000000000}"/>
  <bookViews>
    <workbookView xWindow="0" yWindow="600" windowWidth="28800" windowHeight="16260" activeTab="4" xr2:uid="{00000000-000D-0000-FFFF-FFFF00000000}"/>
  </bookViews>
  <sheets>
    <sheet name="Executive_Dashboard" sheetId="1" r:id="rId1"/>
    <sheet name="Scenario_Model" sheetId="2" r:id="rId2"/>
    <sheet name="Forecast_Model" sheetId="3" r:id="rId3"/>
    <sheet name="Sensitivity" sheetId="4" r:id="rId4"/>
    <sheet name="Executive_Decis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5" i="4"/>
  <c r="B6" i="4"/>
  <c r="B7" i="4"/>
  <c r="B3" i="4"/>
  <c r="D5" i="2"/>
  <c r="D4" i="2"/>
  <c r="D3" i="2"/>
  <c r="F5" i="1"/>
  <c r="E5" i="1"/>
  <c r="D5" i="1"/>
  <c r="F4" i="1"/>
  <c r="E4" i="1"/>
  <c r="D4" i="1"/>
  <c r="F3" i="1"/>
  <c r="E3" i="1"/>
  <c r="D3" i="1"/>
</calcChain>
</file>

<file path=xl/sharedStrings.xml><?xml version="1.0" encoding="utf-8"?>
<sst xmlns="http://schemas.openxmlformats.org/spreadsheetml/2006/main" count="37" uniqueCount="31">
  <si>
    <t>FP&amp;A Executive Performance Dashboard</t>
  </si>
  <si>
    <t>Metric</t>
  </si>
  <si>
    <t>Actual</t>
  </si>
  <si>
    <t>Budget</t>
  </si>
  <si>
    <t>Variance</t>
  </si>
  <si>
    <t>Variance %</t>
  </si>
  <si>
    <t>Status</t>
  </si>
  <si>
    <t>Revenue</t>
  </si>
  <si>
    <t>Expenses</t>
  </si>
  <si>
    <t>Profit</t>
  </si>
  <si>
    <t>Budget &amp; Investment Scenarios</t>
  </si>
  <si>
    <t>Scenario</t>
  </si>
  <si>
    <t>Base</t>
  </si>
  <si>
    <t>Aggressive</t>
  </si>
  <si>
    <t>Conservative</t>
  </si>
  <si>
    <t>Revenue Forecast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</si>
  <si>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</si>
  <si>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</si>
  <si>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</si>
  <si>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</si>
  <si>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</si>
  <si>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</si>
  <si>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</si>
  <si>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</si>
  <si>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</si>
  <si>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Expense Sensitivity Impact on Profit</t>
  </si>
  <si>
    <t>Expense Level</t>
  </si>
  <si>
    <t>Recommended Scenario</t>
  </si>
  <si>
    <t>Best Scenario:</t>
  </si>
  <si>
    <t>Reason:</t>
  </si>
  <si>
    <t>Highest profit with acceptable expense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</si>
</sst>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Growth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Forecast_Model!$B$1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Forecast_Model!$A$2:$A$9</c:f>
              <c:strCache>
                <c:ptCount val="8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</c:strCache>
            </c:strRef>
          </c:cat>
          <c:val>
            <c:numRef>
              <c:f>Forecast_Model!$B$2:$B$9</c:f>
              <c:numCache>
                <c:formatCode>General</c:formatCode>
                <c:ptCount val="8"/>
                <c:pt idx="0">
                  <c:v>0</c:v>
                </c:pt>
                <c:pt idx="1">
                  <c:v>100000</c:v>
                </c:pt>
                <c:pt idx="2">
                  <c:v>105000</c:v>
                </c:pt>
                <c:pt idx="3">
                  <c:v>110000</c:v>
                </c:pt>
                <c:pt idx="4">
                  <c:v>115000</c:v>
                </c:pt>
                <c:pt idx="5">
                  <c:v>120000</c:v>
                </c:pt>
                <c:pt idx="6">
                  <c:v>125000</c:v>
                </c:pt>
                <c:pt idx="7">
                  <c:v>130000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A5-E545-BA70-21AB5A0BF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PnATable" displayName="FPnATable" ref="A2:D5">
  <autoFilter ref="A2:D5" xr:uid="{00000000-0009-0000-0100-000001000000}"/>
  <tableColumns count="4">
    <tableColumn id="1" xr3:uid="{00000000-0010-0000-0000-000001000000}" name="Scenario"/>
    <tableColumn id="2" xr3:uid="{00000000-0010-0000-0000-000002000000}" name="Revenue"/>
    <tableColumn id="3" xr3:uid="{00000000-0010-0000-0000-000003000000}" name="Expenses"/>
    <tableColumn id="4" xr3:uid="{00000000-0010-0000-0000-000004000000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1"/>
    </sheetView>
  </sheetViews>
  <sheetFormatPr baseColWidth="10" defaultColWidth="8.83203125" defaultRowHeight="15" x14ac:dyDescent="0.2"/>
  <sheetData>
    <row r="1" spans="1:6" ht="21" x14ac:dyDescent="0.25">
      <c r="A1" s="5" t="s">
        <v>0</v>
      </c>
      <c r="B1" s="6"/>
      <c r="C1" s="6"/>
      <c r="D1" s="6"/>
      <c r="E1" s="6"/>
      <c r="F1" s="6"/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t="s">
        <v>7</v>
      </c>
      <c r="B3" s="2">
        <v>120000</v>
      </c>
      <c r="C3" s="2">
        <v>110000</v>
      </c>
      <c r="D3" s="2">
        <f>B3-C3</f>
        <v>10000</v>
      </c>
      <c r="E3" s="3">
        <f>D3/C3</f>
        <v>9.0909090909090912E-2</v>
      </c>
      <c r="F3" t="str">
        <f>IF(D3&gt;=0,"Favorable","Unfavorable")</f>
        <v>Favorable</v>
      </c>
    </row>
    <row r="4" spans="1:6" x14ac:dyDescent="0.2">
      <c r="A4" t="s">
        <v>8</v>
      </c>
      <c r="B4" s="2">
        <v>70000</v>
      </c>
      <c r="C4" s="2">
        <v>65000</v>
      </c>
      <c r="D4" s="2">
        <f>B4-C4</f>
        <v>5000</v>
      </c>
      <c r="E4" s="3">
        <f>D4/C4</f>
        <v>7.6923076923076927E-2</v>
      </c>
      <c r="F4" t="str">
        <f>IF(D4&gt;=0,"Favorable","Unfavorable")</f>
        <v>Favorable</v>
      </c>
    </row>
    <row r="5" spans="1:6" x14ac:dyDescent="0.2">
      <c r="A5" t="s">
        <v>9</v>
      </c>
      <c r="B5" s="2">
        <v>50000</v>
      </c>
      <c r="C5" s="2">
        <v>45000</v>
      </c>
      <c r="D5" s="2">
        <f>B5-C5</f>
        <v>5000</v>
      </c>
      <c r="E5" s="3">
        <f>D5/C5</f>
        <v>0.1111111111111111</v>
      </c>
      <c r="F5" t="str">
        <f>IF(D5&gt;=0,"Favorable","Unfavorable")</f>
        <v>Favorable</v>
      </c>
    </row>
  </sheetData>
  <mergeCells count="1">
    <mergeCell ref="A1:F1"/>
  </mergeCells>
  <conditionalFormatting sqref="F3:F5">
    <cfRule type="cellIs" dxfId="1" priority="1" operator="equal">
      <formula>"Favorable"</formula>
    </cfRule>
    <cfRule type="cellIs" dxfId="0" priority="2" operator="equal">
      <formula>"Unfavorable"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3203125" defaultRowHeight="15" x14ac:dyDescent="0.2"/>
  <sheetData>
    <row r="1" spans="1:4" ht="19" x14ac:dyDescent="0.25">
      <c r="A1" s="4" t="s">
        <v>10</v>
      </c>
    </row>
    <row r="2" spans="1:4" x14ac:dyDescent="0.2">
      <c r="A2" t="s">
        <v>11</v>
      </c>
      <c r="B2" t="s">
        <v>7</v>
      </c>
      <c r="C2" t="s">
        <v>8</v>
      </c>
      <c r="D2" t="s">
        <v>9</v>
      </c>
    </row>
    <row r="3" spans="1:4" x14ac:dyDescent="0.2">
      <c r="A3" t="s">
        <v>12</v>
      </c>
      <c r="B3">
        <v>120000</v>
      </c>
      <c r="C3">
        <v>70000</v>
      </c>
      <c r="D3">
        <f>B3-C3</f>
        <v>50000</v>
      </c>
    </row>
    <row r="4" spans="1:4" x14ac:dyDescent="0.2">
      <c r="A4" t="s">
        <v>13</v>
      </c>
      <c r="B4">
        <v>135000</v>
      </c>
      <c r="C4">
        <v>80000</v>
      </c>
      <c r="D4">
        <f>B4-C4</f>
        <v>55000</v>
      </c>
    </row>
    <row r="5" spans="1:4" x14ac:dyDescent="0.2">
      <c r="A5" t="s">
        <v>14</v>
      </c>
      <c r="B5">
        <v>110000</v>
      </c>
      <c r="C5">
        <v>65000</v>
      </c>
      <c r="D5">
        <f>B5-C5</f>
        <v>45000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5" x14ac:dyDescent="0.2"/>
  <sheetData>
    <row r="1" spans="1:2" ht="19" x14ac:dyDescent="0.25">
      <c r="A1" s="4" t="s">
        <v>15</v>
      </c>
    </row>
    <row r="2" spans="1:2" x14ac:dyDescent="0.2">
      <c r="A2" t="s">
        <v>16</v>
      </c>
      <c r="B2" t="s">
        <v>7</v>
      </c>
    </row>
    <row r="3" spans="1:2" x14ac:dyDescent="0.2">
      <c r="A3" t="s">
        <v>17</v>
      </c>
      <c r="B3">
        <v>100000</v>
      </c>
    </row>
    <row r="4" spans="1:2" x14ac:dyDescent="0.2">
      <c r="A4" t="s">
        <v>18</v>
      </c>
      <c r="B4">
        <v>105000</v>
      </c>
    </row>
    <row r="5" spans="1:2" x14ac:dyDescent="0.2">
      <c r="A5" t="s">
        <v>19</v>
      </c>
      <c r="B5">
        <v>110000</v>
      </c>
    </row>
    <row r="6" spans="1:2" x14ac:dyDescent="0.2">
      <c r="A6" t="s">
        <v>20</v>
      </c>
      <c r="B6">
        <v>115000</v>
      </c>
    </row>
    <row r="7" spans="1:2" x14ac:dyDescent="0.2">
      <c r="A7" t="s">
        <v>21</v>
      </c>
      <c r="B7">
        <v>120000</v>
      </c>
    </row>
    <row r="8" spans="1:2" x14ac:dyDescent="0.2">
      <c r="A8" t="s">
        <v>22</v>
      </c>
      <c r="B8">
        <v>125000</v>
      </c>
    </row>
    <row r="9" spans="1:2" x14ac:dyDescent="0.2">
      <c r="A9" t="s">
        <v>23</v>
      </c>
      <c r="B9">
        <v>130000</v>
      </c>
    </row>
    <row r="10" spans="1:2" x14ac:dyDescent="0.2">
      <c r="A10" t="s">
        <v>24</v>
      </c>
      <c r="B10">
        <v>135000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C26" sqref="C26"/>
    </sheetView>
  </sheetViews>
  <sheetFormatPr baseColWidth="10" defaultColWidth="8.83203125" defaultRowHeight="15" x14ac:dyDescent="0.2"/>
  <cols>
    <col min="1" max="1" width="11.83203125" customWidth="1"/>
    <col min="2" max="2" width="14.6640625" customWidth="1"/>
  </cols>
  <sheetData>
    <row r="1" spans="1:2" ht="19" x14ac:dyDescent="0.25">
      <c r="A1" s="4" t="s">
        <v>25</v>
      </c>
    </row>
    <row r="2" spans="1:2" x14ac:dyDescent="0.2">
      <c r="A2" t="s">
        <v>26</v>
      </c>
      <c r="B2" t="s">
        <v>9</v>
      </c>
    </row>
    <row r="3" spans="1:2" x14ac:dyDescent="0.2">
      <c r="A3">
        <v>60000</v>
      </c>
      <c r="B3">
        <f>120000-A3</f>
        <v>60000</v>
      </c>
    </row>
    <row r="4" spans="1:2" x14ac:dyDescent="0.2">
      <c r="A4">
        <v>65000</v>
      </c>
      <c r="B4">
        <f t="shared" ref="B4:B7" si="0">120000-A4</f>
        <v>55000</v>
      </c>
    </row>
    <row r="5" spans="1:2" x14ac:dyDescent="0.2">
      <c r="A5">
        <v>70000</v>
      </c>
      <c r="B5">
        <f t="shared" si="0"/>
        <v>50000</v>
      </c>
    </row>
    <row r="6" spans="1:2" x14ac:dyDescent="0.2">
      <c r="A6">
        <v>75000</v>
      </c>
      <c r="B6">
        <f t="shared" si="0"/>
        <v>45000</v>
      </c>
    </row>
    <row r="7" spans="1:2" x14ac:dyDescent="0.2">
      <c r="A7">
        <v>80000</v>
      </c>
      <c r="B7">
        <f t="shared" si="0"/>
        <v>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/>
  </sheetViews>
  <sheetFormatPr baseColWidth="10" defaultColWidth="8.83203125" defaultRowHeight="15" x14ac:dyDescent="0.2"/>
  <cols>
    <col min="1" max="1" width="13.83203125" customWidth="1"/>
  </cols>
  <sheetData>
    <row r="1" spans="1:2" ht="19" x14ac:dyDescent="0.25">
      <c r="A1" s="4" t="s">
        <v>27</v>
      </c>
    </row>
    <row r="3" spans="1:2" x14ac:dyDescent="0.2">
      <c r="A3" t="s">
        <v>28</v>
      </c>
      <c r="B3" t="s">
        <v>13</v>
      </c>
    </row>
    <row r="4" spans="1:2" x14ac:dyDescent="0.2">
      <c r="A4" t="s">
        <v>29</v>
      </c>
      <c r="B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Executive_Dashboard</vt:lpstr>
      <vt:lpstr>Scenario_Model</vt:lpstr>
      <vt:lpstr>Forecast_Model</vt:lpstr>
      <vt:lpstr>Sensitivity</vt:lpstr>
      <vt:lpstr>Executive_Decision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2026-02-23T17:46:06Z</dcterms:created>
  <dcterms:modified xsi:type="dcterms:W3CDTF">2026-02-23T17:59:45Z</dcterms:modified>
</cp:coreProperties>
</file>