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amiechristian/Downloads/BA_Portfolio_Elite_Complete_Package/FPnA_Executive_Analytics_Project/Excel/"/>
    </mc:Choice>
  </mc:AlternateContent>
  <xr:revisionPtr revIDLastSave="0" documentId="13_ncr:1_{A087B570-13E9-3847-854B-17D4F6C26CC1}" xr6:coauthVersionLast="47" xr6:coauthVersionMax="47" xr10:uidLastSave="{00000000-0000-0000-0000-000000000000}"/>
  <bookViews>
    <workbookView xWindow="0" yWindow="600" windowWidth="28800" windowHeight="16260" activeTab="6" xr2:uid="{00000000-000D-0000-FFFF-FFFF00000000}"/>
  </bookViews>
  <sheets>
    <sheet name="Cover" sheetId="1" r:id="rId1"/>
    <sheet name="Stakeholders" sheetId="2" r:id="rId2"/>
    <sheet name="RAID" sheetId="3" r:id="rId3"/>
    <sheet name="MoSCoW" sheetId="4" r:id="rId4"/>
    <sheet name="Traceability" sheetId="5" r:id="rId5"/>
    <sheet name="Data" sheetId="6" r:id="rId6"/>
    <sheet name="KPI_Calc" sheetId="7" r:id="rId7"/>
    <sheet name="Pivot_Summary" sheetId="8" r:id="rId8"/>
    <sheet name="Charts" sheetId="9" r:id="rId9"/>
    <sheet name="Scenario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8" l="1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B10" i="7"/>
  <c r="B9" i="7"/>
  <c r="B12" i="10" s="1"/>
  <c r="B8" i="7"/>
  <c r="B7" i="7"/>
  <c r="B6" i="7"/>
  <c r="B5" i="7"/>
  <c r="B4" i="7"/>
</calcChain>
</file>

<file path=xl/sharedStrings.xml><?xml version="1.0" encoding="utf-8"?>
<sst xmlns="http://schemas.openxmlformats.org/spreadsheetml/2006/main" count="200" uniqueCount="116">
  <si>
    <t>FPnA_Executive_Analytics_Project</t>
  </si>
  <si>
    <t>Dashboard Alignment</t>
  </si>
  <si>
    <t>KPI/field naming in this workbook matches the uploaded dashboard file.</t>
  </si>
  <si>
    <t>Name</t>
  </si>
  <si>
    <t>Role</t>
  </si>
  <si>
    <t>Team</t>
  </si>
  <si>
    <t>Influence</t>
  </si>
  <si>
    <t>Interest</t>
  </si>
  <si>
    <t>Decision Rights</t>
  </si>
  <si>
    <t>Angela Morrison</t>
  </si>
  <si>
    <t>CFO</t>
  </si>
  <si>
    <t>Finance</t>
  </si>
  <si>
    <t>High</t>
  </si>
  <si>
    <t>Approve KPI defs</t>
  </si>
  <si>
    <t>Simone Alvarez</t>
  </si>
  <si>
    <t>FP&amp;A Manager</t>
  </si>
  <si>
    <t>Med</t>
  </si>
  <si>
    <t>Variance narrative signoff</t>
  </si>
  <si>
    <t>Priya Nair</t>
  </si>
  <si>
    <t>RevOps Manager</t>
  </si>
  <si>
    <t>RevOps</t>
  </si>
  <si>
    <t>Data quality signoff</t>
  </si>
  <si>
    <t>ID</t>
  </si>
  <si>
    <t>Type</t>
  </si>
  <si>
    <t>Description</t>
  </si>
  <si>
    <t>Owner</t>
  </si>
  <si>
    <t>Probability</t>
  </si>
  <si>
    <t>Impact</t>
  </si>
  <si>
    <t>Mitigation</t>
  </si>
  <si>
    <t>Status</t>
  </si>
  <si>
    <t>R-01</t>
  </si>
  <si>
    <t>Risk</t>
  </si>
  <si>
    <t>Definition drift across teams</t>
  </si>
  <si>
    <t>BA</t>
  </si>
  <si>
    <t>Lock KPI glossary + signoff</t>
  </si>
  <si>
    <t>Open</t>
  </si>
  <si>
    <t>I-01</t>
  </si>
  <si>
    <t>Issue</t>
  </si>
  <si>
    <t>Late data refresh breaks month totals</t>
  </si>
  <si>
    <t>Data Eng</t>
  </si>
  <si>
    <t>Low</t>
  </si>
  <si>
    <t>Add refresh checks + alerts</t>
  </si>
  <si>
    <t>In Progress</t>
  </si>
  <si>
    <t>Requirement</t>
  </si>
  <si>
    <t>Must</t>
  </si>
  <si>
    <t>Should</t>
  </si>
  <si>
    <t>Could</t>
  </si>
  <si>
    <t>Won't</t>
  </si>
  <si>
    <t>Notes</t>
  </si>
  <si>
    <t>REQ-01</t>
  </si>
  <si>
    <t>KPI tiles + filters</t>
  </si>
  <si>
    <t>Y</t>
  </si>
  <si>
    <t>Matches dashboard measures</t>
  </si>
  <si>
    <t>REQ-02</t>
  </si>
  <si>
    <t>Drilldowns by key dimensions</t>
  </si>
  <si>
    <t>Category/Device/Dept/Zone as applicable</t>
  </si>
  <si>
    <t>REQ-03</t>
  </si>
  <si>
    <t>Scenario sheet</t>
  </si>
  <si>
    <t>What-if modeling in Excel</t>
  </si>
  <si>
    <t>Req ID</t>
  </si>
  <si>
    <t>User Story</t>
  </si>
  <si>
    <t>Acceptance Criteria</t>
  </si>
  <si>
    <t>Dashboard Element</t>
  </si>
  <si>
    <t>Data Fields</t>
  </si>
  <si>
    <t>SQL Ref</t>
  </si>
  <si>
    <t>Test Case</t>
  </si>
  <si>
    <t>KPI tiles aligned</t>
  </si>
  <si>
    <t>US-01</t>
  </si>
  <si>
    <t>Totals reconcile</t>
  </si>
  <si>
    <t>Dashboard KPI tiles</t>
  </si>
  <si>
    <t>DataTbl</t>
  </si>
  <si>
    <t>Q1</t>
  </si>
  <si>
    <t>TC-01</t>
  </si>
  <si>
    <t>Drilldown views</t>
  </si>
  <si>
    <t>US-02</t>
  </si>
  <si>
    <t>Filters consistent</t>
  </si>
  <si>
    <t>Breakdown charts</t>
  </si>
  <si>
    <t>Q2</t>
  </si>
  <si>
    <t>TC-02</t>
  </si>
  <si>
    <t>MonthYear</t>
  </si>
  <si>
    <t>Department</t>
  </si>
  <si>
    <t>Revenue Actual</t>
  </si>
  <si>
    <t>Revenue Budget</t>
  </si>
  <si>
    <t>Revenue Variance</t>
  </si>
  <si>
    <t>Revenue Variance %</t>
  </si>
  <si>
    <t>Opex (Positive)</t>
  </si>
  <si>
    <t>Operating Income</t>
  </si>
  <si>
    <t>Gross Margin %</t>
  </si>
  <si>
    <t>2025-07</t>
  </si>
  <si>
    <t>Customer Success</t>
  </si>
  <si>
    <t>G&amp;A</t>
  </si>
  <si>
    <t>Marketing</t>
  </si>
  <si>
    <t>Product</t>
  </si>
  <si>
    <t>Sales</t>
  </si>
  <si>
    <t>2025-08</t>
  </si>
  <si>
    <t>2025-09</t>
  </si>
  <si>
    <t>2025-10</t>
  </si>
  <si>
    <t>2025-11</t>
  </si>
  <si>
    <t>2025-12</t>
  </si>
  <si>
    <t>KPI Calculations (Dashboard-aligned)</t>
  </si>
  <si>
    <t>Metric</t>
  </si>
  <si>
    <t>Value</t>
  </si>
  <si>
    <t>Pivot-style Summaries (Dashboard terms)</t>
  </si>
  <si>
    <t>Charts</t>
  </si>
  <si>
    <t>Scenario Modeling (What-if)</t>
  </si>
  <si>
    <t>Inputs are editable. KPIs are linked from KPI_Calc. Use this for advanced BA-style analysis.</t>
  </si>
  <si>
    <t>Input</t>
  </si>
  <si>
    <t>Revenue Actual Lift %</t>
  </si>
  <si>
    <t>Expected uplift vs baseline</t>
  </si>
  <si>
    <t>Opex (Positive) Reduction %</t>
  </si>
  <si>
    <t>Expected OpEx reduction</t>
  </si>
  <si>
    <t>Gross Margin % Lift (pp)</t>
  </si>
  <si>
    <t>Margin improvement</t>
  </si>
  <si>
    <t>Outputs</t>
  </si>
  <si>
    <t>Formula</t>
  </si>
  <si>
    <t>Modeled Operating Income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</si>
</sst>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0F172A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Summary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Pivot_Summary!$B$3</c:f>
              <c:strCache>
                <c:ptCount val="1"/>
                <c:pt idx="0">
                  <c:v>Revenue Actual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Pivot_Summary!$A$4:$A$9</c:f>
              <c:strCache>
                <c:ptCount val="6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</c:strCache>
            </c:strRef>
          </c:cat>
          <c:val>
            <c:numRef>
              <c:f>Pivot_Summary!$B$4:$B$9</c:f>
              <c:numCache>
                <c:formatCode>General</c:formatCode>
                <c:ptCount val="6"/>
                <c:pt idx="0">
                  <c:v>2197675</c:v>
                </c:pt>
                <c:pt idx="1">
                  <c:v>2121690</c:v>
                </c:pt>
                <c:pt idx="2">
                  <c:v>2174210</c:v>
                </c:pt>
                <c:pt idx="3">
                  <c:v>1976318</c:v>
                </c:pt>
                <c:pt idx="4">
                  <c:v>2524320</c:v>
                </c:pt>
                <c:pt idx="5">
                  <c:v>2334388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9-B049-B390-22FB4B0332A8}"/>
            </c:ext>
          </c:extLst>
        </c:ser>
        <c:ser>
          <c:idx val="1"/>
          <c:order val="1"/>
          <c:tx>
            <c:strRef>
              <c:f>Pivot_Summary!$C$3</c:f>
              <c:strCache>
                <c:ptCount val="1"/>
                <c:pt idx="0">
                  <c:v>Revenue Budget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Pivot_Summary!$A$4:$A$9</c:f>
              <c:strCache>
                <c:ptCount val="6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</c:strCache>
            </c:strRef>
          </c:cat>
          <c:val>
            <c:numRef>
              <c:f>Pivot_Summary!$C$4:$C$9</c:f>
              <c:numCache>
                <c:formatCode>General</c:formatCode>
                <c:ptCount val="6"/>
                <c:pt idx="0">
                  <c:v>2187801</c:v>
                </c:pt>
                <c:pt idx="1">
                  <c:v>2121022</c:v>
                </c:pt>
                <c:pt idx="2">
                  <c:v>2155376</c:v>
                </c:pt>
                <c:pt idx="3">
                  <c:v>1976360</c:v>
                </c:pt>
                <c:pt idx="4">
                  <c:v>2538970</c:v>
                </c:pt>
                <c:pt idx="5">
                  <c:v>2350840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9-B049-B390-22FB4B0332A8}"/>
            </c:ext>
          </c:extLst>
        </c:ser>
        <c:ser>
          <c:idx val="2"/>
          <c:order val="2"/>
          <c:tx>
            <c:strRef>
              <c:f>Pivot_Summary!$D$3</c:f>
              <c:strCache>
                <c:ptCount val="1"/>
                <c:pt idx="0">
                  <c:v>Operating Income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Pivot_Summary!$A$4:$A$9</c:f>
              <c:strCache>
                <c:ptCount val="6"/>
                <c:pt idx="0">
                  <c:v>2025-07</c:v>
                </c:pt>
                <c:pt idx="1">
                  <c:v>2025-08</c:v>
                </c:pt>
                <c:pt idx="2">
                  <c:v>2025-09</c:v>
                </c:pt>
                <c:pt idx="3">
                  <c:v>2025-10</c:v>
                </c:pt>
                <c:pt idx="4">
                  <c:v>2025-11</c:v>
                </c:pt>
                <c:pt idx="5">
                  <c:v>2025-12</c:v>
                </c:pt>
              </c:strCache>
            </c:strRef>
          </c:cat>
          <c:val>
            <c:numRef>
              <c:f>Pivot_Summary!$D$4:$D$9</c:f>
              <c:numCache>
                <c:formatCode>General</c:formatCode>
                <c:ptCount val="6"/>
                <c:pt idx="0">
                  <c:v>313784</c:v>
                </c:pt>
                <c:pt idx="1">
                  <c:v>278056</c:v>
                </c:pt>
                <c:pt idx="2">
                  <c:v>207002</c:v>
                </c:pt>
                <c:pt idx="3">
                  <c:v>-144218</c:v>
                </c:pt>
                <c:pt idx="4">
                  <c:v>645301</c:v>
                </c:pt>
                <c:pt idx="5">
                  <c:v>148023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E9-B049-B390-22FB4B033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keTbl" displayName="StakeTbl" ref="A1:F4">
  <autoFilter ref="A1:F4" xr:uid="{00000000-0009-0000-0100-000001000000}"/>
  <tableColumns count="6">
    <tableColumn id="1" xr3:uid="{00000000-0010-0000-0000-000001000000}" name="Name"/>
    <tableColumn id="2" xr3:uid="{00000000-0010-0000-0000-000002000000}" name="Role"/>
    <tableColumn id="3" xr3:uid="{00000000-0010-0000-0000-000003000000}" name="Team"/>
    <tableColumn id="4" xr3:uid="{00000000-0010-0000-0000-000004000000}" name="Influence"/>
    <tableColumn id="5" xr3:uid="{00000000-0010-0000-0000-000005000000}" name="Interest"/>
    <tableColumn id="6" xr3:uid="{00000000-0010-0000-0000-000006000000}" name="Decision Righ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IDTbl" displayName="RAIDTbl" ref="A1:H3">
  <autoFilter ref="A1:H3" xr:uid="{00000000-0009-0000-0100-000002000000}"/>
  <tableColumns count="8">
    <tableColumn id="1" xr3:uid="{00000000-0010-0000-0100-000001000000}" name="ID"/>
    <tableColumn id="2" xr3:uid="{00000000-0010-0000-0100-000002000000}" name="Type"/>
    <tableColumn id="3" xr3:uid="{00000000-0010-0000-0100-000003000000}" name="Description"/>
    <tableColumn id="4" xr3:uid="{00000000-0010-0000-0100-000004000000}" name="Owner"/>
    <tableColumn id="5" xr3:uid="{00000000-0010-0000-0100-000005000000}" name="Probability"/>
    <tableColumn id="6" xr3:uid="{00000000-0010-0000-0100-000006000000}" name="Impact"/>
    <tableColumn id="7" xr3:uid="{00000000-0010-0000-0100-000007000000}" name="Mitigation"/>
    <tableColumn id="8" xr3:uid="{00000000-0010-0000-0100-000008000000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SCoWTbl" displayName="MoSCoWTbl" ref="A1:G4">
  <autoFilter ref="A1:G4" xr:uid="{00000000-0009-0000-0100-000003000000}"/>
  <tableColumns count="7">
    <tableColumn id="1" xr3:uid="{00000000-0010-0000-0200-000001000000}" name="ID"/>
    <tableColumn id="2" xr3:uid="{00000000-0010-0000-0200-000002000000}" name="Requirement"/>
    <tableColumn id="3" xr3:uid="{00000000-0010-0000-0200-000003000000}" name="Must"/>
    <tableColumn id="4" xr3:uid="{00000000-0010-0000-0200-000004000000}" name="Should"/>
    <tableColumn id="5" xr3:uid="{00000000-0010-0000-0200-000005000000}" name="Could"/>
    <tableColumn id="6" xr3:uid="{00000000-0010-0000-0200-000006000000}" name="Won't"/>
    <tableColumn id="7" xr3:uid="{00000000-0010-0000-0200-000007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ceTbl" displayName="TraceTbl" ref="A1:H3">
  <autoFilter ref="A1:H3" xr:uid="{00000000-0009-0000-0100-000004000000}"/>
  <tableColumns count="8">
    <tableColumn id="1" xr3:uid="{00000000-0010-0000-0300-000001000000}" name="Req ID"/>
    <tableColumn id="2" xr3:uid="{00000000-0010-0000-0300-000002000000}" name="Requirement"/>
    <tableColumn id="3" xr3:uid="{00000000-0010-0000-0300-000003000000}" name="User Story"/>
    <tableColumn id="4" xr3:uid="{00000000-0010-0000-0300-000004000000}" name="Acceptance Criteria"/>
    <tableColumn id="5" xr3:uid="{00000000-0010-0000-0300-000005000000}" name="Dashboard Element"/>
    <tableColumn id="6" xr3:uid="{00000000-0010-0000-0300-000006000000}" name="Data Fields"/>
    <tableColumn id="7" xr3:uid="{00000000-0010-0000-0300-000007000000}" name="SQL Ref"/>
    <tableColumn id="8" xr3:uid="{00000000-0010-0000-0300-000008000000}" name="Test Cas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Tbl" displayName="DataTbl" ref="A1:I31">
  <autoFilter ref="A1:I31" xr:uid="{00000000-0009-0000-0100-000005000000}"/>
  <tableColumns count="9">
    <tableColumn id="1" xr3:uid="{00000000-0010-0000-0400-000001000000}" name="MonthYear"/>
    <tableColumn id="2" xr3:uid="{00000000-0010-0000-0400-000002000000}" name="Department"/>
    <tableColumn id="3" xr3:uid="{00000000-0010-0000-0400-000003000000}" name="Revenue Actual"/>
    <tableColumn id="4" xr3:uid="{00000000-0010-0000-0400-000004000000}" name="Revenue Budget"/>
    <tableColumn id="5" xr3:uid="{00000000-0010-0000-0400-000005000000}" name="Revenue Variance"/>
    <tableColumn id="6" xr3:uid="{00000000-0010-0000-0400-000006000000}" name="Revenue Variance %"/>
    <tableColumn id="7" xr3:uid="{00000000-0010-0000-0400-000007000000}" name="Opex (Positive)"/>
    <tableColumn id="8" xr3:uid="{00000000-0010-0000-0400-000008000000}" name="Operating Income"/>
    <tableColumn id="9" xr3:uid="{00000000-0010-0000-0400-000009000000}" name="Gross Margin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baseColWidth="10" defaultColWidth="8.83203125" defaultRowHeight="15" x14ac:dyDescent="0.2"/>
  <sheetData>
    <row r="1" spans="1:1" ht="24" x14ac:dyDescent="0.3">
      <c r="A1" s="1" t="s">
        <v>0</v>
      </c>
    </row>
    <row r="3" spans="1:1" x14ac:dyDescent="0.2">
      <c r="A3" t="s">
        <v>1</v>
      </c>
    </row>
    <row r="4" spans="1:1" ht="144" x14ac:dyDescent="0.2">
      <c r="A4" s="2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baseColWidth="10" defaultColWidth="8.83203125" defaultRowHeight="15" x14ac:dyDescent="0.2"/>
  <cols>
    <col min="1" max="5" width="12" customWidth="1"/>
    <col min="6" max="6" width="17" customWidth="1"/>
  </cols>
  <sheetData>
    <row r="1" spans="1:6" ht="16" x14ac:dyDescent="0.2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</row>
    <row r="2" spans="1:6" x14ac:dyDescent="0.2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</row>
    <row r="3" spans="1:6" x14ac:dyDescent="0.2">
      <c r="A3" t="s">
        <v>14</v>
      </c>
      <c r="B3" t="s">
        <v>15</v>
      </c>
      <c r="C3" t="s">
        <v>11</v>
      </c>
      <c r="D3" t="s">
        <v>16</v>
      </c>
      <c r="E3" t="s">
        <v>12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16</v>
      </c>
      <c r="E4" t="s">
        <v>12</v>
      </c>
      <c r="F4" t="s">
        <v>21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baseColWidth="10" defaultColWidth="8.83203125" defaultRowHeight="15" x14ac:dyDescent="0.2"/>
  <cols>
    <col min="1" max="2" width="12" customWidth="1"/>
    <col min="3" max="3" width="13" customWidth="1"/>
    <col min="4" max="4" width="12" customWidth="1"/>
    <col min="5" max="5" width="13" customWidth="1"/>
    <col min="6" max="8" width="12" customWidth="1"/>
  </cols>
  <sheetData>
    <row r="1" spans="1:8" ht="16" x14ac:dyDescent="0.2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</row>
    <row r="2" spans="1:8" x14ac:dyDescent="0.2">
      <c r="A2" t="s">
        <v>30</v>
      </c>
      <c r="B2" t="s">
        <v>31</v>
      </c>
      <c r="C2" t="s">
        <v>32</v>
      </c>
      <c r="D2" t="s">
        <v>33</v>
      </c>
      <c r="E2" t="s">
        <v>16</v>
      </c>
      <c r="F2" t="s">
        <v>12</v>
      </c>
      <c r="G2" t="s">
        <v>34</v>
      </c>
      <c r="H2" t="s">
        <v>35</v>
      </c>
    </row>
    <row r="3" spans="1:8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16</v>
      </c>
      <c r="G3" t="s">
        <v>41</v>
      </c>
      <c r="H3" t="s">
        <v>42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baseColWidth="10" defaultColWidth="8.83203125" defaultRowHeight="15" x14ac:dyDescent="0.2"/>
  <cols>
    <col min="1" max="1" width="12" customWidth="1"/>
    <col min="2" max="2" width="26" customWidth="1"/>
    <col min="3" max="6" width="12" customWidth="1"/>
    <col min="7" max="7" width="32.5" customWidth="1"/>
  </cols>
  <sheetData>
    <row r="1" spans="1:7" ht="16" x14ac:dyDescent="0.2">
      <c r="A1" s="3" t="s">
        <v>22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</row>
    <row r="2" spans="1:7" x14ac:dyDescent="0.2">
      <c r="A2" t="s">
        <v>49</v>
      </c>
      <c r="B2" t="s">
        <v>50</v>
      </c>
      <c r="C2" t="s">
        <v>51</v>
      </c>
      <c r="G2" t="s">
        <v>52</v>
      </c>
    </row>
    <row r="3" spans="1:7" x14ac:dyDescent="0.2">
      <c r="A3" t="s">
        <v>53</v>
      </c>
      <c r="B3" t="s">
        <v>54</v>
      </c>
      <c r="D3" t="s">
        <v>51</v>
      </c>
      <c r="G3" t="s">
        <v>55</v>
      </c>
    </row>
    <row r="4" spans="1:7" x14ac:dyDescent="0.2">
      <c r="A4" t="s">
        <v>56</v>
      </c>
      <c r="B4" t="s">
        <v>57</v>
      </c>
      <c r="E4" t="s">
        <v>51</v>
      </c>
      <c r="G4" t="s">
        <v>58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baseColWidth="10" defaultColWidth="8.83203125" defaultRowHeight="15" x14ac:dyDescent="0.2"/>
  <cols>
    <col min="1" max="1" width="12" customWidth="1"/>
    <col min="2" max="2" width="13" customWidth="1"/>
    <col min="3" max="3" width="12" customWidth="1"/>
    <col min="4" max="4" width="21" customWidth="1"/>
    <col min="5" max="5" width="19" customWidth="1"/>
    <col min="6" max="6" width="13" customWidth="1"/>
    <col min="7" max="8" width="12" customWidth="1"/>
  </cols>
  <sheetData>
    <row r="1" spans="1:8" ht="16" x14ac:dyDescent="0.2">
      <c r="A1" s="3" t="s">
        <v>59</v>
      </c>
      <c r="B1" s="3" t="s">
        <v>43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</row>
    <row r="2" spans="1:8" x14ac:dyDescent="0.2">
      <c r="A2" t="s">
        <v>49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</row>
    <row r="3" spans="1:8" x14ac:dyDescent="0.2">
      <c r="A3" t="s">
        <v>53</v>
      </c>
      <c r="B3" t="s">
        <v>73</v>
      </c>
      <c r="C3" t="s">
        <v>74</v>
      </c>
      <c r="D3" t="s">
        <v>75</v>
      </c>
      <c r="E3" t="s">
        <v>76</v>
      </c>
      <c r="F3" t="s">
        <v>70</v>
      </c>
      <c r="G3" t="s">
        <v>77</v>
      </c>
      <c r="H3" t="s">
        <v>78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workbookViewId="0"/>
  </sheetViews>
  <sheetFormatPr baseColWidth="10" defaultColWidth="8.83203125" defaultRowHeight="15" x14ac:dyDescent="0.2"/>
  <cols>
    <col min="1" max="2" width="12" customWidth="1"/>
    <col min="3" max="4" width="16" customWidth="1"/>
    <col min="5" max="5" width="18" customWidth="1"/>
    <col min="6" max="6" width="20" customWidth="1"/>
    <col min="7" max="7" width="17" customWidth="1"/>
    <col min="8" max="8" width="18" customWidth="1"/>
    <col min="9" max="9" width="16" customWidth="1"/>
  </cols>
  <sheetData>
    <row r="1" spans="1:9" ht="16" x14ac:dyDescent="0.2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</row>
    <row r="2" spans="1:9" x14ac:dyDescent="0.2">
      <c r="A2" t="s">
        <v>88</v>
      </c>
      <c r="B2" t="s">
        <v>89</v>
      </c>
      <c r="C2">
        <v>368128</v>
      </c>
      <c r="D2">
        <v>368058</v>
      </c>
      <c r="E2">
        <v>70</v>
      </c>
      <c r="F2">
        <v>2.0000000000000001E-4</v>
      </c>
      <c r="G2">
        <v>179957</v>
      </c>
      <c r="H2">
        <v>-10631</v>
      </c>
      <c r="I2">
        <v>0.46</v>
      </c>
    </row>
    <row r="3" spans="1:9" x14ac:dyDescent="0.2">
      <c r="A3" t="s">
        <v>88</v>
      </c>
      <c r="B3" t="s">
        <v>90</v>
      </c>
      <c r="C3">
        <v>375318</v>
      </c>
      <c r="D3">
        <v>379194</v>
      </c>
      <c r="E3">
        <v>-3876</v>
      </c>
      <c r="F3">
        <v>-1.0200000000000001E-2</v>
      </c>
      <c r="G3">
        <v>202589</v>
      </c>
      <c r="H3">
        <v>33448</v>
      </c>
      <c r="I3">
        <v>0.62890000000000001</v>
      </c>
    </row>
    <row r="4" spans="1:9" x14ac:dyDescent="0.2">
      <c r="A4" t="s">
        <v>88</v>
      </c>
      <c r="B4" t="s">
        <v>91</v>
      </c>
      <c r="C4">
        <v>360350</v>
      </c>
      <c r="D4">
        <v>357162</v>
      </c>
      <c r="E4">
        <v>3188</v>
      </c>
      <c r="F4">
        <v>8.8999999999999999E-3</v>
      </c>
      <c r="G4">
        <v>199089</v>
      </c>
      <c r="H4">
        <v>-33529</v>
      </c>
      <c r="I4">
        <v>0.45939999999999998</v>
      </c>
    </row>
    <row r="5" spans="1:9" x14ac:dyDescent="0.2">
      <c r="A5" t="s">
        <v>88</v>
      </c>
      <c r="B5" t="s">
        <v>92</v>
      </c>
      <c r="C5">
        <v>545938</v>
      </c>
      <c r="D5">
        <v>535758</v>
      </c>
      <c r="E5">
        <v>10180</v>
      </c>
      <c r="F5">
        <v>1.9E-2</v>
      </c>
      <c r="G5">
        <v>187349</v>
      </c>
      <c r="H5">
        <v>172056</v>
      </c>
      <c r="I5">
        <v>0.6583</v>
      </c>
    </row>
    <row r="6" spans="1:9" x14ac:dyDescent="0.2">
      <c r="A6" t="s">
        <v>88</v>
      </c>
      <c r="B6" t="s">
        <v>93</v>
      </c>
      <c r="C6">
        <v>547941</v>
      </c>
      <c r="D6">
        <v>547629</v>
      </c>
      <c r="E6">
        <v>312</v>
      </c>
      <c r="F6">
        <v>5.9999999999999995E-4</v>
      </c>
      <c r="G6">
        <v>229277</v>
      </c>
      <c r="H6">
        <v>152440</v>
      </c>
      <c r="I6">
        <v>0.6966</v>
      </c>
    </row>
    <row r="7" spans="1:9" x14ac:dyDescent="0.2">
      <c r="A7" t="s">
        <v>94</v>
      </c>
      <c r="B7" t="s">
        <v>89</v>
      </c>
      <c r="C7">
        <v>453624</v>
      </c>
      <c r="D7">
        <v>459148</v>
      </c>
      <c r="E7">
        <v>-5524</v>
      </c>
      <c r="F7">
        <v>-1.2E-2</v>
      </c>
      <c r="G7">
        <v>256352</v>
      </c>
      <c r="H7">
        <v>47787</v>
      </c>
      <c r="I7">
        <v>0.67049999999999998</v>
      </c>
    </row>
    <row r="8" spans="1:9" x14ac:dyDescent="0.2">
      <c r="A8" t="s">
        <v>94</v>
      </c>
      <c r="B8" t="s">
        <v>90</v>
      </c>
      <c r="C8">
        <v>315498</v>
      </c>
      <c r="D8">
        <v>313903</v>
      </c>
      <c r="E8">
        <v>1595</v>
      </c>
      <c r="F8">
        <v>5.1000000000000004E-3</v>
      </c>
      <c r="G8">
        <v>223975</v>
      </c>
      <c r="H8">
        <v>-72819</v>
      </c>
      <c r="I8">
        <v>0.47910000000000003</v>
      </c>
    </row>
    <row r="9" spans="1:9" x14ac:dyDescent="0.2">
      <c r="A9" t="s">
        <v>94</v>
      </c>
      <c r="B9" t="s">
        <v>91</v>
      </c>
      <c r="C9">
        <v>563998</v>
      </c>
      <c r="D9">
        <v>560871</v>
      </c>
      <c r="E9">
        <v>3127</v>
      </c>
      <c r="F9">
        <v>5.5999999999999999E-3</v>
      </c>
      <c r="G9">
        <v>250809</v>
      </c>
      <c r="H9">
        <v>205761</v>
      </c>
      <c r="I9">
        <v>0.8095</v>
      </c>
    </row>
    <row r="10" spans="1:9" x14ac:dyDescent="0.2">
      <c r="A10" t="s">
        <v>94</v>
      </c>
      <c r="B10" t="s">
        <v>92</v>
      </c>
      <c r="C10">
        <v>367367</v>
      </c>
      <c r="D10">
        <v>366290</v>
      </c>
      <c r="E10">
        <v>1077</v>
      </c>
      <c r="F10">
        <v>2.8999999999999998E-3</v>
      </c>
      <c r="G10">
        <v>167501</v>
      </c>
      <c r="H10">
        <v>93303</v>
      </c>
      <c r="I10">
        <v>0.70989999999999998</v>
      </c>
    </row>
    <row r="11" spans="1:9" x14ac:dyDescent="0.2">
      <c r="A11" t="s">
        <v>94</v>
      </c>
      <c r="B11" t="s">
        <v>93</v>
      </c>
      <c r="C11">
        <v>421203</v>
      </c>
      <c r="D11">
        <v>420810</v>
      </c>
      <c r="E11">
        <v>393</v>
      </c>
      <c r="F11">
        <v>8.9999999999999998E-4</v>
      </c>
      <c r="G11">
        <v>280579</v>
      </c>
      <c r="H11">
        <v>4024</v>
      </c>
      <c r="I11">
        <v>0.67569999999999997</v>
      </c>
    </row>
    <row r="12" spans="1:9" x14ac:dyDescent="0.2">
      <c r="A12" t="s">
        <v>95</v>
      </c>
      <c r="B12" t="s">
        <v>89</v>
      </c>
      <c r="C12">
        <v>403447</v>
      </c>
      <c r="D12">
        <v>409625</v>
      </c>
      <c r="E12">
        <v>-6178</v>
      </c>
      <c r="F12">
        <v>-1.5100000000000001E-2</v>
      </c>
      <c r="G12">
        <v>184163</v>
      </c>
      <c r="H12">
        <v>22662</v>
      </c>
      <c r="I12">
        <v>0.51259999999999994</v>
      </c>
    </row>
    <row r="13" spans="1:9" x14ac:dyDescent="0.2">
      <c r="A13" t="s">
        <v>95</v>
      </c>
      <c r="B13" t="s">
        <v>90</v>
      </c>
      <c r="C13">
        <v>409922</v>
      </c>
      <c r="D13">
        <v>400951</v>
      </c>
      <c r="E13">
        <v>8971</v>
      </c>
      <c r="F13">
        <v>2.24E-2</v>
      </c>
      <c r="G13">
        <v>230144</v>
      </c>
      <c r="H13">
        <v>18316</v>
      </c>
      <c r="I13">
        <v>0.60609999999999997</v>
      </c>
    </row>
    <row r="14" spans="1:9" x14ac:dyDescent="0.2">
      <c r="A14" t="s">
        <v>95</v>
      </c>
      <c r="B14" t="s">
        <v>91</v>
      </c>
      <c r="C14">
        <v>539321</v>
      </c>
      <c r="D14">
        <v>532186</v>
      </c>
      <c r="E14">
        <v>7135</v>
      </c>
      <c r="F14">
        <v>1.34E-2</v>
      </c>
      <c r="G14">
        <v>228081</v>
      </c>
      <c r="H14">
        <v>130411</v>
      </c>
      <c r="I14">
        <v>0.66469999999999996</v>
      </c>
    </row>
    <row r="15" spans="1:9" x14ac:dyDescent="0.2">
      <c r="A15" t="s">
        <v>95</v>
      </c>
      <c r="B15" t="s">
        <v>92</v>
      </c>
      <c r="C15">
        <v>442166</v>
      </c>
      <c r="D15">
        <v>432224</v>
      </c>
      <c r="E15">
        <v>9942</v>
      </c>
      <c r="F15">
        <v>2.3E-2</v>
      </c>
      <c r="G15">
        <v>193645</v>
      </c>
      <c r="H15">
        <v>80992</v>
      </c>
      <c r="I15">
        <v>0.62109999999999999</v>
      </c>
    </row>
    <row r="16" spans="1:9" x14ac:dyDescent="0.2">
      <c r="A16" t="s">
        <v>95</v>
      </c>
      <c r="B16" t="s">
        <v>93</v>
      </c>
      <c r="C16">
        <v>379354</v>
      </c>
      <c r="D16">
        <v>380390</v>
      </c>
      <c r="E16">
        <v>-1036</v>
      </c>
      <c r="F16">
        <v>-2.7000000000000001E-3</v>
      </c>
      <c r="G16">
        <v>192579</v>
      </c>
      <c r="H16">
        <v>-45379</v>
      </c>
      <c r="I16">
        <v>0.38800000000000001</v>
      </c>
    </row>
    <row r="17" spans="1:9" x14ac:dyDescent="0.2">
      <c r="A17" t="s">
        <v>96</v>
      </c>
      <c r="B17" t="s">
        <v>89</v>
      </c>
      <c r="C17">
        <v>396335</v>
      </c>
      <c r="D17">
        <v>398125</v>
      </c>
      <c r="E17">
        <v>-1790</v>
      </c>
      <c r="F17">
        <v>-4.4999999999999997E-3</v>
      </c>
      <c r="G17">
        <v>215704</v>
      </c>
      <c r="H17">
        <v>-35642</v>
      </c>
      <c r="I17">
        <v>0.45429999999999998</v>
      </c>
    </row>
    <row r="18" spans="1:9" x14ac:dyDescent="0.2">
      <c r="A18" t="s">
        <v>96</v>
      </c>
      <c r="B18" t="s">
        <v>90</v>
      </c>
      <c r="C18">
        <v>398136</v>
      </c>
      <c r="D18">
        <v>399636</v>
      </c>
      <c r="E18">
        <v>-1500</v>
      </c>
      <c r="F18">
        <v>-3.8E-3</v>
      </c>
      <c r="G18">
        <v>211893</v>
      </c>
      <c r="H18">
        <v>-29583</v>
      </c>
      <c r="I18">
        <v>0.45789999999999997</v>
      </c>
    </row>
    <row r="19" spans="1:9" x14ac:dyDescent="0.2">
      <c r="A19" t="s">
        <v>96</v>
      </c>
      <c r="B19" t="s">
        <v>91</v>
      </c>
      <c r="C19">
        <v>405994</v>
      </c>
      <c r="D19">
        <v>394493</v>
      </c>
      <c r="E19">
        <v>11501</v>
      </c>
      <c r="F19">
        <v>2.92E-2</v>
      </c>
      <c r="G19">
        <v>251929</v>
      </c>
      <c r="H19">
        <v>-24565</v>
      </c>
      <c r="I19">
        <v>0.56000000000000005</v>
      </c>
    </row>
    <row r="20" spans="1:9" x14ac:dyDescent="0.2">
      <c r="A20" t="s">
        <v>96</v>
      </c>
      <c r="B20" t="s">
        <v>92</v>
      </c>
      <c r="C20">
        <v>353517</v>
      </c>
      <c r="D20">
        <v>354964</v>
      </c>
      <c r="E20">
        <v>-1447</v>
      </c>
      <c r="F20">
        <v>-4.1000000000000003E-3</v>
      </c>
      <c r="G20">
        <v>233836</v>
      </c>
      <c r="H20">
        <v>-36947</v>
      </c>
      <c r="I20">
        <v>0.55689999999999995</v>
      </c>
    </row>
    <row r="21" spans="1:9" x14ac:dyDescent="0.2">
      <c r="A21" t="s">
        <v>96</v>
      </c>
      <c r="B21" t="s">
        <v>93</v>
      </c>
      <c r="C21">
        <v>422336</v>
      </c>
      <c r="D21">
        <v>429142</v>
      </c>
      <c r="E21">
        <v>-6806</v>
      </c>
      <c r="F21">
        <v>-1.5900000000000001E-2</v>
      </c>
      <c r="G21">
        <v>245744</v>
      </c>
      <c r="H21">
        <v>-17481</v>
      </c>
      <c r="I21">
        <v>0.54049999999999998</v>
      </c>
    </row>
    <row r="22" spans="1:9" x14ac:dyDescent="0.2">
      <c r="A22" t="s">
        <v>97</v>
      </c>
      <c r="B22" t="s">
        <v>89</v>
      </c>
      <c r="C22">
        <v>493846</v>
      </c>
      <c r="D22">
        <v>501708</v>
      </c>
      <c r="E22">
        <v>-7862</v>
      </c>
      <c r="F22">
        <v>-1.5699999999999999E-2</v>
      </c>
      <c r="G22">
        <v>163255</v>
      </c>
      <c r="H22">
        <v>113814</v>
      </c>
      <c r="I22">
        <v>0.56100000000000005</v>
      </c>
    </row>
    <row r="23" spans="1:9" x14ac:dyDescent="0.2">
      <c r="A23" t="s">
        <v>97</v>
      </c>
      <c r="B23" t="s">
        <v>90</v>
      </c>
      <c r="C23">
        <v>568661</v>
      </c>
      <c r="D23">
        <v>568852</v>
      </c>
      <c r="E23">
        <v>-191</v>
      </c>
      <c r="F23">
        <v>-2.9999999999999997E-4</v>
      </c>
      <c r="G23">
        <v>182465</v>
      </c>
      <c r="H23">
        <v>165940</v>
      </c>
      <c r="I23">
        <v>0.61270000000000002</v>
      </c>
    </row>
    <row r="24" spans="1:9" x14ac:dyDescent="0.2">
      <c r="A24" t="s">
        <v>97</v>
      </c>
      <c r="B24" t="s">
        <v>91</v>
      </c>
      <c r="C24">
        <v>498862</v>
      </c>
      <c r="D24">
        <v>507720</v>
      </c>
      <c r="E24">
        <v>-8858</v>
      </c>
      <c r="F24">
        <v>-1.7399999999999999E-2</v>
      </c>
      <c r="G24">
        <v>269842</v>
      </c>
      <c r="H24">
        <v>71519</v>
      </c>
      <c r="I24">
        <v>0.68430000000000002</v>
      </c>
    </row>
    <row r="25" spans="1:9" x14ac:dyDescent="0.2">
      <c r="A25" t="s">
        <v>97</v>
      </c>
      <c r="B25" t="s">
        <v>92</v>
      </c>
      <c r="C25">
        <v>485077</v>
      </c>
      <c r="D25">
        <v>480689</v>
      </c>
      <c r="E25">
        <v>4388</v>
      </c>
      <c r="F25">
        <v>9.1000000000000004E-3</v>
      </c>
      <c r="G25">
        <v>197041</v>
      </c>
      <c r="H25">
        <v>121126</v>
      </c>
      <c r="I25">
        <v>0.65590000000000004</v>
      </c>
    </row>
    <row r="26" spans="1:9" x14ac:dyDescent="0.2">
      <c r="A26" t="s">
        <v>97</v>
      </c>
      <c r="B26" t="s">
        <v>93</v>
      </c>
      <c r="C26">
        <v>477874</v>
      </c>
      <c r="D26">
        <v>480001</v>
      </c>
      <c r="E26">
        <v>-2127</v>
      </c>
      <c r="F26">
        <v>-4.4000000000000003E-3</v>
      </c>
      <c r="G26">
        <v>172471</v>
      </c>
      <c r="H26">
        <v>172902</v>
      </c>
      <c r="I26">
        <v>0.72270000000000001</v>
      </c>
    </row>
    <row r="27" spans="1:9" x14ac:dyDescent="0.2">
      <c r="A27" t="s">
        <v>98</v>
      </c>
      <c r="B27" t="s">
        <v>89</v>
      </c>
      <c r="C27">
        <v>365398</v>
      </c>
      <c r="D27">
        <v>364104</v>
      </c>
      <c r="E27">
        <v>1294</v>
      </c>
      <c r="F27">
        <v>3.5999999999999999E-3</v>
      </c>
      <c r="G27">
        <v>289688</v>
      </c>
      <c r="H27">
        <v>-163354</v>
      </c>
      <c r="I27">
        <v>0.34570000000000001</v>
      </c>
    </row>
    <row r="28" spans="1:9" x14ac:dyDescent="0.2">
      <c r="A28" t="s">
        <v>98</v>
      </c>
      <c r="B28" t="s">
        <v>90</v>
      </c>
      <c r="C28">
        <v>481112</v>
      </c>
      <c r="D28">
        <v>493028</v>
      </c>
      <c r="E28">
        <v>-11916</v>
      </c>
      <c r="F28">
        <v>-2.4199999999999999E-2</v>
      </c>
      <c r="G28">
        <v>185946</v>
      </c>
      <c r="H28">
        <v>82885</v>
      </c>
      <c r="I28">
        <v>0.55879999999999996</v>
      </c>
    </row>
    <row r="29" spans="1:9" x14ac:dyDescent="0.2">
      <c r="A29" t="s">
        <v>98</v>
      </c>
      <c r="B29" t="s">
        <v>91</v>
      </c>
      <c r="C29">
        <v>361316</v>
      </c>
      <c r="D29">
        <v>369756</v>
      </c>
      <c r="E29">
        <v>-8440</v>
      </c>
      <c r="F29">
        <v>-2.2800000000000001E-2</v>
      </c>
      <c r="G29">
        <v>199083</v>
      </c>
      <c r="H29">
        <v>-5973</v>
      </c>
      <c r="I29">
        <v>0.53449999999999998</v>
      </c>
    </row>
    <row r="30" spans="1:9" x14ac:dyDescent="0.2">
      <c r="A30" t="s">
        <v>98</v>
      </c>
      <c r="B30" t="s">
        <v>92</v>
      </c>
      <c r="C30">
        <v>618126</v>
      </c>
      <c r="D30">
        <v>618687</v>
      </c>
      <c r="E30">
        <v>-561</v>
      </c>
      <c r="F30">
        <v>-8.9999999999999998E-4</v>
      </c>
      <c r="G30">
        <v>247786</v>
      </c>
      <c r="H30">
        <v>155034</v>
      </c>
      <c r="I30">
        <v>0.65169999999999995</v>
      </c>
    </row>
    <row r="31" spans="1:9" x14ac:dyDescent="0.2">
      <c r="A31" t="s">
        <v>98</v>
      </c>
      <c r="B31" t="s">
        <v>93</v>
      </c>
      <c r="C31">
        <v>508436</v>
      </c>
      <c r="D31">
        <v>505265</v>
      </c>
      <c r="E31">
        <v>3171</v>
      </c>
      <c r="F31">
        <v>6.3E-3</v>
      </c>
      <c r="G31">
        <v>208170</v>
      </c>
      <c r="H31">
        <v>79431</v>
      </c>
      <c r="I31">
        <v>0.56569999999999998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44.5" customWidth="1"/>
    <col min="2" max="2" width="52" customWidth="1"/>
  </cols>
  <sheetData>
    <row r="1" spans="1:2" ht="19" x14ac:dyDescent="0.25">
      <c r="A1" s="4" t="s">
        <v>99</v>
      </c>
    </row>
    <row r="3" spans="1:2" x14ac:dyDescent="0.2">
      <c r="A3" s="5" t="s">
        <v>100</v>
      </c>
      <c r="B3" s="5" t="s">
        <v>101</v>
      </c>
    </row>
    <row r="4" spans="1:2" x14ac:dyDescent="0.2">
      <c r="A4" s="6" t="s">
        <v>81</v>
      </c>
      <c r="B4" s="6">
        <f>SUMIF(DataTbl[Department],"Sales",DataTbl[Revenue Actual])+SUMIF(DataTbl[Department],"Marketing",DataTbl[Revenue Actual])+SUMIF(DataTbl[Department],"Product",DataTbl[Revenue Actual])+SUMIF(DataTbl[Department],"Customer Success",DataTbl[Revenue Actual])+SUMIF(DataTbl[Department],"G&amp;A",DataTbl[Revenue Actual])</f>
        <v>13328601</v>
      </c>
    </row>
    <row r="5" spans="1:2" x14ac:dyDescent="0.2">
      <c r="A5" s="6" t="s">
        <v>82</v>
      </c>
      <c r="B5" s="6">
        <f>SUM(DataTbl[Revenue Budget])</f>
        <v>13330369</v>
      </c>
    </row>
    <row r="6" spans="1:2" x14ac:dyDescent="0.2">
      <c r="A6" s="6" t="s">
        <v>83</v>
      </c>
      <c r="B6" s="6">
        <f>SUM(DataTbl[Revenue Variance])</f>
        <v>-1768</v>
      </c>
    </row>
    <row r="7" spans="1:2" x14ac:dyDescent="0.2">
      <c r="A7" s="6" t="s">
        <v>84</v>
      </c>
      <c r="B7" s="6">
        <f>IF(SUM(DataTbl[Revenue Budget])=0,0,SUM(DataTbl[Revenue Variance])/SUM(DataTbl[Revenue Budget]))</f>
        <v>-1.3262948685066408E-4</v>
      </c>
    </row>
    <row r="8" spans="1:2" x14ac:dyDescent="0.2">
      <c r="A8" s="6" t="s">
        <v>85</v>
      </c>
      <c r="B8" s="6">
        <f>SUM(DataTbl[Opex (Positive)])</f>
        <v>6480942</v>
      </c>
    </row>
    <row r="9" spans="1:2" x14ac:dyDescent="0.2">
      <c r="A9" s="6" t="s">
        <v>86</v>
      </c>
      <c r="B9" s="6">
        <f>SUM(DataTbl[Operating Income])</f>
        <v>1447948</v>
      </c>
    </row>
    <row r="10" spans="1:2" x14ac:dyDescent="0.2">
      <c r="A10" s="6" t="s">
        <v>87</v>
      </c>
      <c r="B10" s="6">
        <f>IF(SUM(DataTbl[Revenue Actual])=0,0,AVERAGE(DataTbl[Gross Margin %]))</f>
        <v>0.58343333333333336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/>
  </sheetViews>
  <sheetFormatPr baseColWidth="10" defaultColWidth="8.83203125" defaultRowHeight="15" x14ac:dyDescent="0.2"/>
  <cols>
    <col min="1" max="1" width="22" customWidth="1"/>
    <col min="2" max="2" width="20" customWidth="1"/>
    <col min="3" max="3" width="22" customWidth="1"/>
    <col min="4" max="4" width="20" customWidth="1"/>
    <col min="5" max="5" width="18" customWidth="1"/>
  </cols>
  <sheetData>
    <row r="1" spans="1:4" ht="19" x14ac:dyDescent="0.25">
      <c r="A1" s="4" t="s">
        <v>102</v>
      </c>
    </row>
    <row r="3" spans="1:4" ht="16" x14ac:dyDescent="0.2">
      <c r="A3" s="3" t="s">
        <v>79</v>
      </c>
      <c r="B3" s="3" t="s">
        <v>81</v>
      </c>
      <c r="C3" s="3" t="s">
        <v>82</v>
      </c>
      <c r="D3" s="3" t="s">
        <v>86</v>
      </c>
    </row>
    <row r="4" spans="1:4" x14ac:dyDescent="0.2">
      <c r="A4" s="6" t="s">
        <v>88</v>
      </c>
      <c r="B4" s="6">
        <f>SUMIFS(DataTbl[Revenue Actual],DataTbl[MonthYear],A4)</f>
        <v>2197675</v>
      </c>
      <c r="C4" s="6">
        <f>SUMIFS(DataTbl[Revenue Budget],DataTbl[MonthYear],A4)</f>
        <v>2187801</v>
      </c>
      <c r="D4" s="6">
        <f>SUMIFS(DataTbl[Operating Income],DataTbl[MonthYear],A4)</f>
        <v>313784</v>
      </c>
    </row>
    <row r="5" spans="1:4" x14ac:dyDescent="0.2">
      <c r="A5" s="6" t="s">
        <v>94</v>
      </c>
      <c r="B5" s="6">
        <f>SUMIFS(DataTbl[Revenue Actual],DataTbl[MonthYear],A5)</f>
        <v>2121690</v>
      </c>
      <c r="C5" s="6">
        <f>SUMIFS(DataTbl[Revenue Budget],DataTbl[MonthYear],A5)</f>
        <v>2121022</v>
      </c>
      <c r="D5" s="6">
        <f>SUMIFS(DataTbl[Operating Income],DataTbl[MonthYear],A5)</f>
        <v>278056</v>
      </c>
    </row>
    <row r="6" spans="1:4" x14ac:dyDescent="0.2">
      <c r="A6" s="6" t="s">
        <v>95</v>
      </c>
      <c r="B6" s="6">
        <f>SUMIFS(DataTbl[Revenue Actual],DataTbl[MonthYear],A6)</f>
        <v>2174210</v>
      </c>
      <c r="C6" s="6">
        <f>SUMIFS(DataTbl[Revenue Budget],DataTbl[MonthYear],A6)</f>
        <v>2155376</v>
      </c>
      <c r="D6" s="6">
        <f>SUMIFS(DataTbl[Operating Income],DataTbl[MonthYear],A6)</f>
        <v>207002</v>
      </c>
    </row>
    <row r="7" spans="1:4" x14ac:dyDescent="0.2">
      <c r="A7" s="6" t="s">
        <v>96</v>
      </c>
      <c r="B7" s="6">
        <f>SUMIFS(DataTbl[Revenue Actual],DataTbl[MonthYear],A7)</f>
        <v>1976318</v>
      </c>
      <c r="C7" s="6">
        <f>SUMIFS(DataTbl[Revenue Budget],DataTbl[MonthYear],A7)</f>
        <v>1976360</v>
      </c>
      <c r="D7" s="6">
        <f>SUMIFS(DataTbl[Operating Income],DataTbl[MonthYear],A7)</f>
        <v>-144218</v>
      </c>
    </row>
    <row r="8" spans="1:4" x14ac:dyDescent="0.2">
      <c r="A8" s="6" t="s">
        <v>97</v>
      </c>
      <c r="B8" s="6">
        <f>SUMIFS(DataTbl[Revenue Actual],DataTbl[MonthYear],A8)</f>
        <v>2524320</v>
      </c>
      <c r="C8" s="6">
        <f>SUMIFS(DataTbl[Revenue Budget],DataTbl[MonthYear],A8)</f>
        <v>2538970</v>
      </c>
      <c r="D8" s="6">
        <f>SUMIFS(DataTbl[Operating Income],DataTbl[MonthYear],A8)</f>
        <v>645301</v>
      </c>
    </row>
    <row r="9" spans="1:4" x14ac:dyDescent="0.2">
      <c r="A9" s="6" t="s">
        <v>98</v>
      </c>
      <c r="B9" s="6">
        <f>SUMIFS(DataTbl[Revenue Actual],DataTbl[MonthYear],A9)</f>
        <v>2334388</v>
      </c>
      <c r="C9" s="6">
        <f>SUMIFS(DataTbl[Revenue Budget],DataTbl[MonthYear],A9)</f>
        <v>2350840</v>
      </c>
      <c r="D9" s="6">
        <f>SUMIFS(DataTbl[Operating Income],DataTbl[MonthYear],A9)</f>
        <v>148023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83203125" defaultRowHeight="15" x14ac:dyDescent="0.2"/>
  <sheetData>
    <row r="1" spans="1:1" ht="19" x14ac:dyDescent="0.25">
      <c r="A1" s="4" t="s">
        <v>103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56" customWidth="1"/>
  </cols>
  <sheetData>
    <row r="1" spans="1:3" ht="19" x14ac:dyDescent="0.25">
      <c r="A1" s="4" t="s">
        <v>104</v>
      </c>
    </row>
    <row r="3" spans="1:3" x14ac:dyDescent="0.2">
      <c r="A3" t="s">
        <v>105</v>
      </c>
    </row>
    <row r="5" spans="1:3" ht="16" x14ac:dyDescent="0.2">
      <c r="A5" s="3" t="s">
        <v>106</v>
      </c>
      <c r="B5" s="3" t="s">
        <v>101</v>
      </c>
      <c r="C5" s="3" t="s">
        <v>24</v>
      </c>
    </row>
    <row r="6" spans="1:3" x14ac:dyDescent="0.2">
      <c r="A6" s="6" t="s">
        <v>107</v>
      </c>
      <c r="B6" s="7">
        <v>0.03</v>
      </c>
      <c r="C6" s="6" t="s">
        <v>108</v>
      </c>
    </row>
    <row r="7" spans="1:3" x14ac:dyDescent="0.2">
      <c r="A7" s="6" t="s">
        <v>109</v>
      </c>
      <c r="B7" s="7">
        <v>0.04</v>
      </c>
      <c r="C7" s="6" t="s">
        <v>110</v>
      </c>
    </row>
    <row r="8" spans="1:3" x14ac:dyDescent="0.2">
      <c r="A8" s="6" t="s">
        <v>111</v>
      </c>
      <c r="B8" s="7">
        <v>0.5</v>
      </c>
      <c r="C8" s="6" t="s">
        <v>112</v>
      </c>
    </row>
    <row r="10" spans="1:3" x14ac:dyDescent="0.2">
      <c r="A10" s="8" t="s">
        <v>113</v>
      </c>
    </row>
    <row r="11" spans="1:3" x14ac:dyDescent="0.2">
      <c r="A11" s="5" t="s">
        <v>100</v>
      </c>
      <c r="B11" s="5" t="s">
        <v>114</v>
      </c>
    </row>
    <row r="12" spans="1:3" x14ac:dyDescent="0.2">
      <c r="A12" s="6" t="s">
        <v>115</v>
      </c>
      <c r="B12" s="6">
        <f>KPI_Calc!B9*B6 - KPI_Calc!B8*B7</f>
        <v>-215799.24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Stakeholders</vt:lpstr>
      <vt:lpstr>RAID</vt:lpstr>
      <vt:lpstr>MoSCoW</vt:lpstr>
      <vt:lpstr>Traceability</vt:lpstr>
      <vt:lpstr>Data</vt:lpstr>
      <vt:lpstr>KPI_Calc</vt:lpstr>
      <vt:lpstr>Pivot_Summary</vt:lpstr>
      <vt:lpstr>Charts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2026-01-28T04:04:20Z</dcterms:created>
  <dcterms:modified xsi:type="dcterms:W3CDTF">2026-01-28T04:14:30Z</dcterms:modified>
</cp:coreProperties>
</file>